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📑 Índice" sheetId="1" state="visible" r:id="rId1"/>
    <sheet name="⚙️ Parâmetros" sheetId="2" state="visible" r:id="rId2"/>
    <sheet name="📋 Catálogo" sheetId="3" state="visible" r:id="rId3"/>
    <sheet name="🎨 Filamento" sheetId="4" state="visible" r:id="rId4"/>
    <sheet name="🧾 Romaneio" sheetId="5" state="visible" r:id="rId5"/>
    <sheet name="📦 Pedidos" sheetId="6" state="visible" r:id="rId6"/>
    <sheet name="🖨️ Produção" sheetId="7" state="visible" r:id="rId7"/>
    <sheet name="📦 Est. Peças" sheetId="8" state="visible" r:id="rId8"/>
    <sheet name="🔧 Manutenção" sheetId="9" state="visible" r:id="rId9"/>
    <sheet name="🏪 Consignados" sheetId="10" state="visible" r:id="rId10"/>
    <sheet name="📊 Relatório" sheetId="11" state="visible" r:id="rId11"/>
    <sheet name="💳 Lançamentos" sheetId="12" state="visible" r:id="rId12"/>
    <sheet name="📅 Proj. Mensal" sheetId="13" state="visible" r:id="rId13"/>
    <sheet name="📊 Resumo Parcelas" sheetId="14" state="visible" r:id="rId14"/>
  </sheets>
  <definedNames>
    <definedName name="Produtos">'📋 Catálogo'!$B$7:$B$39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g&quot;"/>
    <numFmt numFmtId="165" formatCode="#,##0.0&quot; h&quot;"/>
    <numFmt numFmtId="166" formatCode="R$ #,##0.00"/>
    <numFmt numFmtId="167" formatCode="#,##0.00&quot; kg&quot;"/>
    <numFmt numFmtId="168" formatCode="DD/MM/YYYY"/>
    <numFmt numFmtId="169" formatCode="MMM/YYYY"/>
  </numFmts>
  <fonts count="35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rgb="FFFFFFFF"/>
      <sz val="13"/>
    </font>
    <font/>
    <font>
      <name val="Arial"/>
      <b val="1"/>
      <color rgb="FF1565C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FF"/>
      <sz val="10"/>
    </font>
    <font>
      <name val="Arial"/>
      <color rgb="FF555555"/>
      <sz val="10"/>
    </font>
    <font>
      <name val="Arial"/>
      <color rgb="FF666666"/>
      <sz val="9"/>
    </font>
    <font>
      <name val="Arial"/>
      <b val="1"/>
      <color rgb="FF000000"/>
      <sz val="10"/>
    </font>
    <font>
      <name val="Arial"/>
      <b val="1"/>
      <color rgb="FF1565C0"/>
      <sz val="10"/>
    </font>
    <font>
      <name val="Arial"/>
      <color rgb="FF555555"/>
      <sz val="9"/>
    </font>
    <font>
      <name val="Arial"/>
      <color rgb="FF666666"/>
      <sz val="8"/>
    </font>
    <font>
      <name val="Arial"/>
      <i val="1"/>
      <color rgb="FF555555"/>
      <sz val="9"/>
    </font>
    <font>
      <name val="Arial"/>
      <b val="1"/>
      <color rgb="FF000000"/>
      <sz val="11"/>
    </font>
    <font>
      <name val="Arial"/>
      <b val="1"/>
      <color rgb="FF1A6B1A"/>
      <sz val="10"/>
    </font>
    <font>
      <name val="Arial"/>
      <b val="1"/>
      <color rgb="FFE65100"/>
      <sz val="10"/>
    </font>
    <font>
      <name val="Arial"/>
      <color rgb="FF0000FF"/>
      <sz val="10"/>
    </font>
    <font>
      <name val="Arial"/>
      <b val="1"/>
      <color theme="1"/>
      <sz val="10"/>
    </font>
    <font>
      <name val="Arial"/>
      <b val="1"/>
      <color rgb="FF1565C0"/>
      <sz val="9"/>
    </font>
    <font>
      <name val="Arial"/>
      <color rgb="FFAAAAAA"/>
      <sz val="9"/>
    </font>
    <font>
      <name val="Arial"/>
      <color rgb="FF000000"/>
      <sz val="11"/>
    </font>
    <font>
      <name val="Arial"/>
      <b val="1"/>
      <color rgb="FF1A6B1A"/>
      <sz val="11"/>
    </font>
    <font>
      <name val="Arial"/>
      <b val="1"/>
      <color rgb="FF1A6B1A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</font>
    <font>
      <name val="Arial"/>
      <color theme="1"/>
      <sz val="10"/>
    </font>
    <font>
      <name val="Arial"/>
      <color rgb="FF1565C0"/>
      <sz val="10"/>
    </font>
    <font>
      <name val="Arial"/>
      <b val="1"/>
      <color rgb="FF1565C0"/>
      <sz val="12"/>
    </font>
    <font>
      <name val="Arial"/>
      <color rgb="FF333333"/>
      <sz val="10"/>
    </font>
    <font>
      <b val="1"/>
      <color rgb="000F766E"/>
      <sz val="18"/>
    </font>
    <font>
      <b val="1"/>
      <color rgb="000F766E"/>
      <sz val="14"/>
    </font>
    <font>
      <b val="1"/>
    </font>
  </fonts>
  <fills count="17">
    <fill>
      <patternFill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F5C400"/>
        <bgColor rgb="FFF5C400"/>
      </patternFill>
    </fill>
    <fill>
      <patternFill patternType="solid">
        <fgColor rgb="FFDDEEFF"/>
        <bgColor rgb="FFDDEEFF"/>
      </patternFill>
    </fill>
    <fill>
      <patternFill patternType="solid">
        <fgColor rgb="FFF5F5F5"/>
        <bgColor rgb="FFF5F5F5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7B1FA2"/>
        <bgColor rgb="FF7B1FA2"/>
      </patternFill>
    </fill>
    <fill>
      <patternFill patternType="solid">
        <fgColor rgb="FFE65100"/>
        <bgColor rgb="FFE65100"/>
      </patternFill>
    </fill>
    <fill>
      <patternFill patternType="solid">
        <fgColor rgb="FF1A6B1A"/>
        <bgColor rgb="FF1A6B1A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8F0FF"/>
        <bgColor rgb="FFF8F0FF"/>
      </patternFill>
    </fill>
    <fill>
      <patternFill patternType="solid">
        <fgColor rgb="FFFFF8F0"/>
        <bgColor rgb="FFFFF8F0"/>
      </patternFill>
    </fill>
    <fill>
      <patternFill patternType="solid">
        <fgColor rgb="FFC62828"/>
        <bgColor rgb="FFC62828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1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/>
    </xf>
    <xf numFmtId="0" fontId="8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center"/>
    </xf>
    <xf numFmtId="0" fontId="10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5" fillId="8" borderId="6" applyAlignment="1" pivotButton="0" quotePrefix="0" xfId="0">
      <alignment horizontal="center" vertical="center" wrapText="1"/>
    </xf>
    <xf numFmtId="0" fontId="3" fillId="0" borderId="7" pivotButton="0" quotePrefix="0" xfId="0"/>
    <xf numFmtId="0" fontId="3" fillId="0" borderId="8" pivotButton="0" quotePrefix="0" xfId="0"/>
    <xf numFmtId="0" fontId="5" fillId="9" borderId="6" applyAlignment="1" pivotButton="0" quotePrefix="0" xfId="0">
      <alignment horizontal="center" vertical="center" wrapText="1"/>
    </xf>
    <xf numFmtId="0" fontId="5" fillId="10" borderId="6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10" borderId="5" applyAlignment="1" pivotButton="0" quotePrefix="0" xfId="0">
      <alignment horizontal="center" vertical="center" wrapText="1"/>
    </xf>
    <xf numFmtId="0" fontId="1" fillId="5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164" fontId="6" fillId="11" borderId="5" applyAlignment="1" pivotButton="0" quotePrefix="0" xfId="0">
      <alignment horizontal="center" vertical="center"/>
    </xf>
    <xf numFmtId="165" fontId="6" fillId="5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left" vertical="center"/>
    </xf>
    <xf numFmtId="166" fontId="6" fillId="12" borderId="5" applyAlignment="1" pivotButton="0" quotePrefix="0" xfId="0">
      <alignment horizontal="center" vertical="center"/>
    </xf>
    <xf numFmtId="166" fontId="16" fillId="13" borderId="5" applyAlignment="1" pivotButton="0" quotePrefix="0" xfId="0">
      <alignment horizontal="center"/>
    </xf>
    <xf numFmtId="166" fontId="11" fillId="4" borderId="5" applyAlignment="1" pivotButton="0" quotePrefix="0" xfId="0">
      <alignment horizontal="center"/>
    </xf>
    <xf numFmtId="166" fontId="17" fillId="12" borderId="5" applyAlignment="1" pivotButton="0" quotePrefix="0" xfId="0">
      <alignment horizontal="center"/>
    </xf>
    <xf numFmtId="0" fontId="18" fillId="6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/>
    </xf>
    <xf numFmtId="0" fontId="1" fillId="7" borderId="5" applyAlignment="1" pivotButton="0" quotePrefix="0" xfId="0">
      <alignment horizontal="center" vertical="center"/>
    </xf>
    <xf numFmtId="0" fontId="15" fillId="7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center" vertical="center"/>
    </xf>
    <xf numFmtId="0" fontId="6" fillId="14" borderId="5" applyAlignment="1" pivotButton="0" quotePrefix="0" xfId="0">
      <alignment horizontal="center" vertical="center"/>
    </xf>
    <xf numFmtId="164" fontId="6" fillId="14" borderId="5" applyAlignment="1" pivotButton="0" quotePrefix="0" xfId="0">
      <alignment horizontal="center" vertical="center"/>
    </xf>
    <xf numFmtId="165" fontId="6" fillId="7" borderId="5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/>
    </xf>
    <xf numFmtId="166" fontId="6" fillId="15" borderId="5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center"/>
    </xf>
    <xf numFmtId="3" fontId="16" fillId="13" borderId="5" applyAlignment="1" pivotButton="0" quotePrefix="0" xfId="0">
      <alignment horizontal="center"/>
    </xf>
    <xf numFmtId="167" fontId="1" fillId="0" borderId="5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" fillId="0" borderId="0" pivotButton="0" quotePrefix="0" xfId="0"/>
    <xf numFmtId="0" fontId="20" fillId="4" borderId="5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168" fontId="18" fillId="6" borderId="5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left" vertical="center"/>
    </xf>
    <xf numFmtId="166" fontId="15" fillId="0" borderId="5" applyAlignment="1" pivotButton="0" quotePrefix="0" xfId="0">
      <alignment horizontal="center"/>
    </xf>
    <xf numFmtId="166" fontId="23" fillId="13" borderId="5" applyAlignment="1" pivotButton="0" quotePrefix="0" xfId="0">
      <alignment horizontal="center"/>
    </xf>
    <xf numFmtId="0" fontId="21" fillId="7" borderId="5" applyAlignment="1" pivotButton="0" quotePrefix="0" xfId="0">
      <alignment horizontal="center" vertical="center"/>
    </xf>
    <xf numFmtId="0" fontId="22" fillId="7" borderId="5" applyAlignment="1" pivotButton="0" quotePrefix="0" xfId="0">
      <alignment horizontal="left" vertical="center"/>
    </xf>
    <xf numFmtId="0" fontId="11" fillId="5" borderId="6" applyAlignment="1" pivotButton="0" quotePrefix="0" xfId="0">
      <alignment horizontal="right" vertical="center"/>
    </xf>
    <xf numFmtId="0" fontId="24" fillId="13" borderId="5" applyAlignment="1" pivotButton="0" quotePrefix="0" xfId="0">
      <alignment horizontal="center"/>
    </xf>
    <xf numFmtId="166" fontId="25" fillId="2" borderId="5" applyAlignment="1" pivotButton="0" quotePrefix="0" xfId="0">
      <alignment horizontal="center"/>
    </xf>
    <xf numFmtId="0" fontId="25" fillId="10" borderId="6" applyAlignment="1" pivotButton="0" quotePrefix="0" xfId="0">
      <alignment horizontal="center" vertical="center"/>
    </xf>
    <xf numFmtId="168" fontId="6" fillId="5" borderId="5" applyAlignment="1" pivotButton="0" quotePrefix="0" xfId="0">
      <alignment horizontal="left" vertical="center"/>
    </xf>
    <xf numFmtId="166" fontId="6" fillId="5" borderId="5" applyAlignment="1" pivotButton="0" quotePrefix="0" xfId="0">
      <alignment horizontal="left" vertical="center"/>
    </xf>
    <xf numFmtId="168" fontId="6" fillId="7" borderId="5" applyAlignment="1" pivotButton="0" quotePrefix="0" xfId="0">
      <alignment horizontal="left" vertical="center"/>
    </xf>
    <xf numFmtId="166" fontId="6" fillId="7" borderId="5" applyAlignment="1" pivotButton="0" quotePrefix="0" xfId="0">
      <alignment horizontal="left" vertical="center"/>
    </xf>
    <xf numFmtId="0" fontId="5" fillId="16" borderId="6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 wrapText="1"/>
    </xf>
    <xf numFmtId="0" fontId="26" fillId="16" borderId="5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19" fillId="5" borderId="5" applyAlignment="1" pivotButton="0" quotePrefix="0" xfId="0">
      <alignment horizontal="center"/>
    </xf>
    <xf numFmtId="0" fontId="19" fillId="7" borderId="5" applyAlignment="1" pivotButton="0" quotePrefix="0" xfId="0">
      <alignment horizontal="center"/>
    </xf>
    <xf numFmtId="165" fontId="1" fillId="0" borderId="5" applyAlignment="1" pivotButton="0" quotePrefix="0" xfId="0">
      <alignment horizontal="center"/>
    </xf>
    <xf numFmtId="0" fontId="5" fillId="2" borderId="5" applyAlignment="1" pivotButton="0" quotePrefix="0" xfId="0">
      <alignment horizontal="left" vertical="center"/>
    </xf>
    <xf numFmtId="0" fontId="27" fillId="2" borderId="5" applyAlignment="1" pivotButton="0" quotePrefix="0" xfId="0">
      <alignment horizontal="center"/>
    </xf>
    <xf numFmtId="165" fontId="27" fillId="2" borderId="5" applyAlignment="1" pivotButton="0" quotePrefix="0" xfId="0">
      <alignment horizontal="center"/>
    </xf>
    <xf numFmtId="166" fontId="27" fillId="2" borderId="5" applyAlignment="1" pivotButton="0" quotePrefix="0" xfId="0">
      <alignment horizontal="center"/>
    </xf>
    <xf numFmtId="166" fontId="24" fillId="13" borderId="5" applyAlignment="1" pivotButton="0" quotePrefix="0" xfId="0">
      <alignment horizontal="center" vertical="center"/>
    </xf>
    <xf numFmtId="3" fontId="24" fillId="6" borderId="5" applyAlignment="1" pivotButton="0" quotePrefix="0" xfId="0">
      <alignment horizontal="center" vertical="center"/>
    </xf>
    <xf numFmtId="0" fontId="25" fillId="2" borderId="2" applyAlignment="1" pivotButton="0" quotePrefix="0" xfId="0">
      <alignment horizontal="left" vertical="center"/>
    </xf>
    <xf numFmtId="0" fontId="16" fillId="13" borderId="5" applyAlignment="1" pivotButton="0" quotePrefix="0" xfId="0">
      <alignment horizontal="center" vertical="center" wrapText="1"/>
    </xf>
    <xf numFmtId="168" fontId="28" fillId="5" borderId="5" applyAlignment="1" pivotButton="0" quotePrefix="0" xfId="0">
      <alignment horizontal="center"/>
    </xf>
    <xf numFmtId="166" fontId="18" fillId="6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169" fontId="29" fillId="4" borderId="5" applyAlignment="1" pivotButton="0" quotePrefix="0" xfId="0">
      <alignment horizontal="center"/>
    </xf>
    <xf numFmtId="0" fontId="10" fillId="13" borderId="5" applyAlignment="1" pivotButton="0" quotePrefix="0" xfId="0">
      <alignment horizontal="center" vertical="center"/>
    </xf>
    <xf numFmtId="168" fontId="28" fillId="7" borderId="5" applyAlignment="1" pivotButton="0" quotePrefix="0" xfId="0">
      <alignment horizontal="center"/>
    </xf>
    <xf numFmtId="0" fontId="10" fillId="6" borderId="5" applyAlignment="1" pivotButton="0" quotePrefix="0" xfId="0">
      <alignment horizontal="center" vertical="center"/>
    </xf>
    <xf numFmtId="168" fontId="28" fillId="5" borderId="5" applyAlignment="1" pivotButton="0" quotePrefix="0" xfId="0">
      <alignment horizontal="center"/>
    </xf>
    <xf numFmtId="168" fontId="1" fillId="5" borderId="5" pivotButton="0" quotePrefix="0" xfId="0"/>
    <xf numFmtId="168" fontId="1" fillId="7" borderId="5" pivotButton="0" quotePrefix="0" xfId="0"/>
    <xf numFmtId="0" fontId="14" fillId="5" borderId="2" applyAlignment="1" pivotButton="0" quotePrefix="0" xfId="0">
      <alignment horizontal="left"/>
    </xf>
    <xf numFmtId="169" fontId="19" fillId="5" borderId="5" applyAlignment="1" pivotButton="0" quotePrefix="0" xfId="0">
      <alignment horizontal="center"/>
    </xf>
    <xf numFmtId="166" fontId="28" fillId="5" borderId="5" applyAlignment="1" pivotButton="0" quotePrefix="0" xfId="0">
      <alignment horizontal="center"/>
    </xf>
    <xf numFmtId="169" fontId="19" fillId="7" borderId="5" applyAlignment="1" pivotButton="0" quotePrefix="0" xfId="0">
      <alignment horizontal="center"/>
    </xf>
    <xf numFmtId="166" fontId="28" fillId="7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center"/>
    </xf>
    <xf numFmtId="169" fontId="30" fillId="4" borderId="5" applyAlignment="1" pivotButton="0" quotePrefix="0" xfId="0">
      <alignment horizontal="center" vertical="center"/>
    </xf>
    <xf numFmtId="3" fontId="30" fillId="4" borderId="5" applyAlignment="1" pivotButton="0" quotePrefix="0" xfId="0">
      <alignment horizontal="center" vertical="center"/>
    </xf>
    <xf numFmtId="0" fontId="31" fillId="5" borderId="6" applyAlignment="1" pivotButton="0" quotePrefix="0" xfId="0">
      <alignment horizontal="left" vertical="center"/>
    </xf>
    <xf numFmtId="0" fontId="31" fillId="7" borderId="6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1" fillId="5" borderId="5" applyAlignment="1" pivotButton="0" quotePrefix="0" xfId="0">
      <alignment horizontal="right" vertical="center"/>
    </xf>
    <xf numFmtId="0" fontId="25" fillId="10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/>
    </xf>
    <xf numFmtId="0" fontId="31" fillId="5" borderId="5" applyAlignment="1" pivotButton="0" quotePrefix="0" xfId="0">
      <alignment horizontal="left" vertical="center"/>
    </xf>
    <xf numFmtId="0" fontId="31" fillId="7" borderId="5" applyAlignment="1" pivotButton="0" quotePrefix="0" xfId="0">
      <alignment horizontal="left" vertical="center"/>
    </xf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FFF176"/>
          <bgColor rgb="FFFFF176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style="109" min="1" max="1"/>
    <col width="22" customWidth="1" style="109" min="2" max="2"/>
    <col width="50" customWidth="1" style="109" min="3" max="3"/>
  </cols>
  <sheetData>
    <row r="1">
      <c r="A1" s="123" t="inlineStr">
        <is>
          <t>Taldo Studio 3D — Gestão v7.3</t>
        </is>
      </c>
    </row>
    <row r="2">
      <c r="A2" s="0" t="inlineStr">
        <is>
          <t>Impressão 3D · @TaldoStudio3d · Av. Sebastião Henriques, 575</t>
        </is>
      </c>
    </row>
    <row r="4">
      <c r="A4" s="124" t="inlineStr">
        <is>
          <t>FLUXO DO DIA A DIA</t>
        </is>
      </c>
    </row>
    <row r="5">
      <c r="A5" s="0" t="inlineStr">
        <is>
          <t>1</t>
        </is>
      </c>
      <c r="B5" s="125" t="inlineStr">
        <is>
          <t>🧾 Romaneio</t>
        </is>
      </c>
      <c r="C5" s="0" t="inlineStr">
        <is>
          <t>Montar orçamento/pedido</t>
        </is>
      </c>
    </row>
    <row r="6">
      <c r="A6" s="0" t="inlineStr">
        <is>
          <t>2</t>
        </is>
      </c>
      <c r="B6" s="125" t="inlineStr">
        <is>
          <t>📦 Pedidos</t>
        </is>
      </c>
      <c r="C6" s="0" t="inlineStr">
        <is>
          <t>Registrar pedido confirmado</t>
        </is>
      </c>
    </row>
    <row r="7">
      <c r="A7" s="0" t="inlineStr">
        <is>
          <t>3</t>
        </is>
      </c>
      <c r="B7" s="125" t="inlineStr">
        <is>
          <t>🖨️ Produção</t>
        </is>
      </c>
      <c r="C7" s="0" t="inlineStr">
        <is>
          <t>Ver o que fabricar</t>
        </is>
      </c>
    </row>
    <row r="8">
      <c r="A8" s="0" t="inlineStr">
        <is>
          <t>4</t>
        </is>
      </c>
      <c r="B8" s="125" t="inlineStr">
        <is>
          <t>📦 Est. Peças</t>
        </is>
      </c>
      <c r="C8" s="0" t="inlineStr">
        <is>
          <t>Atualizar peças prontas</t>
        </is>
      </c>
    </row>
    <row r="9">
      <c r="A9" s="0" t="inlineStr">
        <is>
          <t>5</t>
        </is>
      </c>
      <c r="B9" s="125" t="inlineStr">
        <is>
          <t>🎨 Filamento</t>
        </is>
      </c>
      <c r="C9" s="0" t="inlineStr">
        <is>
          <t>Registrar uso de filamento</t>
        </is>
      </c>
    </row>
    <row r="10">
      <c r="A10" s="0" t="inlineStr">
        <is>
          <t>6</t>
        </is>
      </c>
      <c r="B10" s="125" t="inlineStr">
        <is>
          <t>💳 Lançamentos</t>
        </is>
      </c>
      <c r="C10" s="0" t="inlineStr">
        <is>
          <t>Compras parceladas do cartão</t>
        </is>
      </c>
    </row>
    <row r="12">
      <c r="A12" s="124" t="inlineStr">
        <is>
          <t>TODAS AS ABAS</t>
        </is>
      </c>
    </row>
    <row r="13">
      <c r="A13" s="125" t="inlineStr">
        <is>
          <t>⚙️ Parâmetros</t>
        </is>
      </c>
      <c r="B13" s="0" t="inlineStr">
        <is>
          <t>Custos e categorias</t>
        </is>
      </c>
    </row>
    <row r="14">
      <c r="A14" s="125" t="inlineStr">
        <is>
          <t>📋 Catálogo</t>
        </is>
      </c>
      <c r="B14" s="0" t="inlineStr">
        <is>
          <t>Produtos e preços</t>
        </is>
      </c>
    </row>
    <row r="15">
      <c r="A15" s="125" t="inlineStr">
        <is>
          <t>🎨 Filamento</t>
        </is>
      </c>
      <c r="B15" s="0" t="inlineStr">
        <is>
          <t>Estoque de filamento</t>
        </is>
      </c>
    </row>
    <row r="16">
      <c r="A16" s="125" t="inlineStr">
        <is>
          <t>🧾 Romaneio</t>
        </is>
      </c>
      <c r="B16" s="0" t="inlineStr">
        <is>
          <t>Montar pedido</t>
        </is>
      </c>
    </row>
    <row r="17">
      <c r="A17" s="125" t="inlineStr">
        <is>
          <t>📦 Pedidos</t>
        </is>
      </c>
      <c r="B17" s="0" t="inlineStr">
        <is>
          <t>Histórico</t>
        </is>
      </c>
    </row>
    <row r="18">
      <c r="A18" s="125" t="inlineStr">
        <is>
          <t>🖨️ Produção</t>
        </is>
      </c>
      <c r="B18" s="0" t="inlineStr">
        <is>
          <t>Fila de fabricação</t>
        </is>
      </c>
    </row>
    <row r="19">
      <c r="A19" s="125" t="inlineStr">
        <is>
          <t>📦 Est. Peças</t>
        </is>
      </c>
      <c r="B19" s="0" t="inlineStr">
        <is>
          <t>Peças prontas</t>
        </is>
      </c>
    </row>
    <row r="20">
      <c r="A20" s="125" t="inlineStr">
        <is>
          <t>🔧 Manutenção</t>
        </is>
      </c>
      <c r="B20" s="0" t="inlineStr">
        <is>
          <t>Horas das máquinas</t>
        </is>
      </c>
    </row>
    <row r="21">
      <c r="A21" s="125" t="inlineStr">
        <is>
          <t>🏪 Consignados</t>
        </is>
      </c>
      <c r="B21" s="0" t="inlineStr">
        <is>
          <t>Bancas</t>
        </is>
      </c>
    </row>
    <row r="22">
      <c r="A22" s="125" t="inlineStr">
        <is>
          <t>📊 Relatório</t>
        </is>
      </c>
      <c r="B22" s="0" t="inlineStr">
        <is>
          <t>Indicadores</t>
        </is>
      </c>
    </row>
    <row r="23">
      <c r="A23" s="125" t="inlineStr">
        <is>
          <t>💳 Lançamentos</t>
        </is>
      </c>
      <c r="B23" s="0" t="inlineStr">
        <is>
          <t>Parcelas do cartão</t>
        </is>
      </c>
    </row>
    <row r="24">
      <c r="A24" s="125" t="inlineStr">
        <is>
          <t>📅 Proj. Mensal</t>
        </is>
      </c>
      <c r="B24" s="0" t="inlineStr">
        <is>
          <t>Gastos por mês</t>
        </is>
      </c>
    </row>
    <row r="25">
      <c r="A25" s="125" t="inlineStr">
        <is>
          <t>📊 Resumo Parcelas</t>
        </is>
      </c>
      <c r="B25" s="0" t="inlineStr">
        <is>
          <t>Resumo financeiro</t>
        </is>
      </c>
    </row>
    <row r="28">
      <c r="A28" s="124" t="inlineStr">
        <is>
          <t>REGRAS IMPORTANTES</t>
        </is>
      </c>
    </row>
    <row r="29">
      <c r="A29" s="0" t="inlineStr">
        <is>
          <t>💳 UMA linha por compra — atualize Parc. Atual, não crie linha nova cada mês.</t>
        </is>
      </c>
    </row>
    <row r="30">
      <c r="A30" s="0" t="inlineStr">
        <is>
          <t>💳 Data na Fatura = quando a parcela aparece no cartão (branco = mês atual).</t>
        </is>
      </c>
    </row>
    <row r="31">
      <c r="A31" s="0" t="inlineStr">
        <is>
          <t>💳 Status "Cancelado" remove da projeção mensal.</t>
        </is>
      </c>
    </row>
    <row r="32">
      <c r="A32" s="0" t="inlineStr">
        <is>
          <t>🧾 Cadastre o produto no Catálogo antes de usar no Romaneio.</t>
        </is>
      </c>
    </row>
    <row r="33">
      <c r="A33" s="0" t="inlineStr">
        <is>
          <t>🎨 Registre Saídas de filamento após cada impressão.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8" customWidth="1" style="109" min="2" max="2"/>
    <col width="12" customWidth="1" style="109" min="3" max="3"/>
    <col width="37.43" customWidth="1" style="109" min="4" max="4"/>
    <col width="40" customWidth="1" style="109" min="5" max="5"/>
    <col width="8.710000000000001" customWidth="1" style="109" min="6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112" t="inlineStr">
        <is>
          <t>⚙️ PARÂMETROS DE CUSTO</t>
        </is>
      </c>
    </row>
    <row r="5" ht="19.5" customHeight="1" s="109">
      <c r="A5" s="7" t="inlineStr">
        <is>
          <t>PARÂMETRO</t>
        </is>
      </c>
      <c r="B5" s="7" t="inlineStr">
        <is>
          <t>VALOR</t>
        </is>
      </c>
      <c r="C5" s="7" t="inlineStr">
        <is>
          <t>UNIDADE</t>
        </is>
      </c>
      <c r="D5" s="7" t="inlineStr">
        <is>
          <t>OBSERVAÇÃO</t>
        </is>
      </c>
    </row>
    <row r="6" ht="18" customHeight="1" s="109">
      <c r="A6" s="8" t="inlineStr">
        <is>
          <t>Custo filamento</t>
        </is>
      </c>
      <c r="B6" s="9" t="n">
        <v>100</v>
      </c>
      <c r="C6" s="10" t="inlineStr">
        <is>
          <t>R$/kg</t>
        </is>
      </c>
      <c r="D6" s="11" t="inlineStr">
        <is>
          <t>Padrão geral</t>
        </is>
      </c>
    </row>
    <row r="7" ht="18" customHeight="1" s="109">
      <c r="A7" s="12" t="inlineStr">
        <is>
          <t>Consumo máquina</t>
        </is>
      </c>
      <c r="B7" s="9" t="n">
        <v>0.15</v>
      </c>
      <c r="C7" s="13" t="inlineStr">
        <is>
          <t>kW/h</t>
        </is>
      </c>
      <c r="D7" s="14" t="inlineStr">
        <is>
          <t>Por hora</t>
        </is>
      </c>
    </row>
    <row r="8" ht="18" customHeight="1" s="109">
      <c r="A8" s="8" t="inlineStr">
        <is>
          <t>Tarifa energia</t>
        </is>
      </c>
      <c r="B8" s="9" t="n">
        <v>0.9</v>
      </c>
      <c r="C8" s="10" t="inlineStr">
        <is>
          <t>R$/kWh</t>
        </is>
      </c>
      <c r="D8" s="11" t="inlineStr">
        <is>
          <t>Verificar conta</t>
        </is>
      </c>
    </row>
    <row r="9" ht="18" customHeight="1" s="109">
      <c r="A9" s="12" t="inlineStr">
        <is>
          <t>Desgaste máquina</t>
        </is>
      </c>
      <c r="B9" s="9" t="n">
        <v>2</v>
      </c>
      <c r="C9" s="13" t="inlineStr">
        <is>
          <t>R$/h</t>
        </is>
      </c>
      <c r="D9" s="14" t="inlineStr">
        <is>
          <t>Reserva manutenção</t>
        </is>
      </c>
    </row>
    <row r="10" ht="18" customHeight="1" s="109">
      <c r="A10" s="8" t="inlineStr">
        <is>
          <t>Embalagem</t>
        </is>
      </c>
      <c r="B10" s="9" t="n">
        <v>0.07000000000000001</v>
      </c>
      <c r="C10" s="10" t="inlineStr">
        <is>
          <t>R$/peça</t>
        </is>
      </c>
      <c r="D10" s="11" t="inlineStr">
        <is>
          <t>Sempre aplicar</t>
        </is>
      </c>
    </row>
    <row r="11" ht="18" customHeight="1" s="109">
      <c r="A11" s="12" t="inlineStr">
        <is>
          <t>Argola chaveiro</t>
        </is>
      </c>
      <c r="B11" s="9" t="n">
        <v>0.15</v>
      </c>
      <c r="C11" s="13" t="inlineStr">
        <is>
          <t>R$/un</t>
        </is>
      </c>
      <c r="D11" s="14" t="inlineStr">
        <is>
          <t>Se for chaveiro</t>
        </is>
      </c>
    </row>
    <row r="12" ht="18" customHeight="1" s="109">
      <c r="A12" s="8" t="inlineStr">
        <is>
          <t>Ímã</t>
        </is>
      </c>
      <c r="B12" s="9" t="n">
        <v>0.13</v>
      </c>
      <c r="C12" s="10" t="inlineStr">
        <is>
          <t>R$/un</t>
        </is>
      </c>
      <c r="D12" s="11" t="inlineStr">
        <is>
          <t>Se tiver ímã</t>
        </is>
      </c>
    </row>
    <row r="13" ht="18" customHeight="1" s="109">
      <c r="A13" s="12" t="inlineStr">
        <is>
          <t>Mult. Varejo</t>
        </is>
      </c>
      <c r="B13" s="9" t="n">
        <v>3.5</v>
      </c>
      <c r="C13" s="13" t="inlineStr">
        <is>
          <t>×</t>
        </is>
      </c>
      <c r="D13" s="14" t="inlineStr">
        <is>
          <t>Pessoa física / unitário</t>
        </is>
      </c>
    </row>
    <row r="14" ht="18" customHeight="1" s="109">
      <c r="A14" s="8" t="inlineStr">
        <is>
          <t>Mult. Atacado</t>
        </is>
      </c>
      <c r="B14" s="9" t="n">
        <v>2.5</v>
      </c>
      <c r="C14" s="10" t="inlineStr">
        <is>
          <t>×</t>
        </is>
      </c>
      <c r="D14" s="11" t="inlineStr">
        <is>
          <t>Revendedor / volume</t>
        </is>
      </c>
    </row>
    <row r="15" ht="18" customHeight="1" s="109">
      <c r="A15" s="12" t="inlineStr">
        <is>
          <t>% Reserva manutenção</t>
        </is>
      </c>
      <c r="B15" s="9" t="n">
        <v>0.1</v>
      </c>
      <c r="C15" s="13" t="inlineStr">
        <is>
          <t>%</t>
        </is>
      </c>
      <c r="D15" s="14" t="inlineStr">
        <is>
          <t>Sobre receita</t>
        </is>
      </c>
    </row>
    <row r="16" ht="18" customHeight="1" s="109">
      <c r="A16" s="8" t="inlineStr">
        <is>
          <t>Nº máquinas ativas</t>
        </is>
      </c>
      <c r="B16" s="9" t="n">
        <v>2</v>
      </c>
      <c r="C16" s="10" t="inlineStr">
        <is>
          <t>un</t>
        </is>
      </c>
      <c r="D16" s="11" t="inlineStr">
        <is>
          <t>Atualizar ao comprar</t>
        </is>
      </c>
    </row>
    <row r="19" ht="21.75" customHeight="1" s="109">
      <c r="A19" s="112" t="inlineStr">
        <is>
          <t>🏷️ CATEGORIAS / SKU</t>
        </is>
      </c>
    </row>
    <row r="20" ht="19.5" customHeight="1" s="109">
      <c r="A20" s="7" t="inlineStr">
        <is>
          <t>CATEGORIA</t>
        </is>
      </c>
      <c r="B20" s="7" t="inlineStr">
        <is>
          <t>CÓDIGO</t>
        </is>
      </c>
      <c r="C20" s="7" t="inlineStr">
        <is>
          <t>EXEMPLO</t>
        </is>
      </c>
      <c r="D20" s="7" t="inlineStr">
        <is>
          <t>PALAVRAS-CHAVE</t>
        </is>
      </c>
    </row>
    <row r="21" ht="18" customHeight="1" s="109">
      <c r="A21" s="15" t="inlineStr">
        <is>
          <t>Chaveiro</t>
        </is>
      </c>
      <c r="B21" s="16" t="inlineStr">
        <is>
          <t>CH</t>
        </is>
      </c>
      <c r="C21" s="17" t="inlineStr">
        <is>
          <t>CH-2026-001</t>
        </is>
      </c>
      <c r="D21" s="18" t="inlineStr">
        <is>
          <t>chaveiro,chave,keychain</t>
        </is>
      </c>
    </row>
    <row r="22" ht="18" customHeight="1" s="109">
      <c r="A22" s="19" t="inlineStr">
        <is>
          <t>Caixinha</t>
        </is>
      </c>
      <c r="B22" s="16" t="inlineStr">
        <is>
          <t>CX</t>
        </is>
      </c>
      <c r="C22" s="20" t="inlineStr">
        <is>
          <t>CX-2026-002</t>
        </is>
      </c>
      <c r="D22" s="21" t="inlineStr">
        <is>
          <t>caixa,caixinha,estojo</t>
        </is>
      </c>
    </row>
    <row r="23" ht="18" customHeight="1" s="109">
      <c r="A23" s="15" t="inlineStr">
        <is>
          <t>Miniatura</t>
        </is>
      </c>
      <c r="B23" s="16" t="inlineStr">
        <is>
          <t>MN</t>
        </is>
      </c>
      <c r="C23" s="17" t="inlineStr">
        <is>
          <t>MN-2026-003</t>
        </is>
      </c>
      <c r="D23" s="18" t="inlineStr">
        <is>
          <t>miniatura,boneco,figura,polvo,stitch</t>
        </is>
      </c>
    </row>
    <row r="24" ht="18" customHeight="1" s="109">
      <c r="A24" s="19" t="inlineStr">
        <is>
          <t>Troféu</t>
        </is>
      </c>
      <c r="B24" s="16" t="inlineStr">
        <is>
          <t>TR</t>
        </is>
      </c>
      <c r="C24" s="20" t="inlineStr">
        <is>
          <t>TR-2026-004</t>
        </is>
      </c>
      <c r="D24" s="21" t="inlineStr">
        <is>
          <t>trofeu,troféu,premio,medalha</t>
        </is>
      </c>
    </row>
    <row r="25" ht="18" customHeight="1" s="109">
      <c r="A25" s="15" t="inlineStr">
        <is>
          <t>Plaquinha</t>
        </is>
      </c>
      <c r="B25" s="16" t="inlineStr">
        <is>
          <t>PQ</t>
        </is>
      </c>
      <c r="C25" s="17" t="inlineStr">
        <is>
          <t>PQ-2026-005</t>
        </is>
      </c>
      <c r="D25" s="18" t="inlineStr">
        <is>
          <t>plaquinha,placa,letreiro</t>
        </is>
      </c>
    </row>
    <row r="26" ht="18" customHeight="1" s="109">
      <c r="A26" s="19" t="inlineStr">
        <is>
          <t>Porta-retrato</t>
        </is>
      </c>
      <c r="B26" s="16" t="inlineStr">
        <is>
          <t>PR</t>
        </is>
      </c>
      <c r="C26" s="20" t="inlineStr">
        <is>
          <t>PR-2026-006</t>
        </is>
      </c>
      <c r="D26" s="21" t="inlineStr">
        <is>
          <t>porta-retrato,moldura,frame</t>
        </is>
      </c>
    </row>
    <row r="27" ht="18" customHeight="1" s="109">
      <c r="A27" s="15" t="inlineStr">
        <is>
          <t>Enfeite/Decoração</t>
        </is>
      </c>
      <c r="B27" s="16" t="inlineStr">
        <is>
          <t>EN</t>
        </is>
      </c>
      <c r="C27" s="17" t="inlineStr">
        <is>
          <t>EN-2026-007</t>
        </is>
      </c>
      <c r="D27" s="18" t="inlineStr">
        <is>
          <t>enfeite,decoração,ornamento</t>
        </is>
      </c>
    </row>
    <row r="28" ht="18" customHeight="1" s="109">
      <c r="A28" s="19" t="inlineStr">
        <is>
          <t>Peça Técnica</t>
        </is>
      </c>
      <c r="B28" s="16" t="inlineStr">
        <is>
          <t>PT</t>
        </is>
      </c>
      <c r="C28" s="20" t="inlineStr">
        <is>
          <t>PT-2026-008</t>
        </is>
      </c>
      <c r="D28" s="21" t="inlineStr">
        <is>
          <t>peca,peça,suporte,adaptador</t>
        </is>
      </c>
    </row>
    <row r="29" ht="18" customHeight="1" s="109">
      <c r="A29" s="15" t="inlineStr">
        <is>
          <t>Ímã de Geladeira</t>
        </is>
      </c>
      <c r="B29" s="16" t="inlineStr">
        <is>
          <t>IM</t>
        </is>
      </c>
      <c r="C29" s="17" t="inlineStr">
        <is>
          <t>IM-2026-009</t>
        </is>
      </c>
      <c r="D29" s="18" t="inlineStr">
        <is>
          <t>ima,ímã,geladeira,magnet</t>
        </is>
      </c>
    </row>
    <row r="30" ht="18" customHeight="1" s="109">
      <c r="A30" s="19" t="inlineStr">
        <is>
          <t>Kit / Combo</t>
        </is>
      </c>
      <c r="B30" s="16" t="inlineStr">
        <is>
          <t>KT</t>
        </is>
      </c>
      <c r="C30" s="20" t="inlineStr">
        <is>
          <t>KT-2026-010</t>
        </is>
      </c>
      <c r="D30" s="21" t="inlineStr">
        <is>
          <t>kit,combo,conjunto,pack</t>
        </is>
      </c>
    </row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4">
    <mergeCell ref="A2:D2"/>
    <mergeCell ref="B1:D1"/>
    <mergeCell ref="A4:D4"/>
    <mergeCell ref="A19:D1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8" customWidth="1" style="109" min="2" max="2"/>
    <col width="26" customWidth="1" style="109" min="3" max="3"/>
    <col width="14" customWidth="1" style="109" min="4" max="4"/>
    <col width="16" customWidth="1" style="109" min="5" max="5"/>
    <col width="14" customWidth="1" style="109" min="6" max="6"/>
    <col width="8" customWidth="1" style="109" min="7" max="7"/>
    <col width="14" customWidth="1" style="109" min="8" max="8"/>
    <col width="8" customWidth="1" style="109" min="9" max="9"/>
    <col width="14" customWidth="1" style="109" min="10" max="10"/>
    <col width="8" customWidth="1" style="109" min="11" max="15"/>
    <col width="16" customWidth="1" style="109" min="16" max="16"/>
    <col width="12" customWidth="1" style="109" min="17" max="20"/>
    <col width="24" customWidth="1" style="109" min="21" max="21"/>
    <col width="8.710000000000001" customWidth="1" style="109" min="2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5.75" customHeight="1" s="109">
      <c r="A4" s="113" t="inlineStr">
        <is>
          <t>📋 CATÁLOGO — Cadastre aqui cada produto com todas as informações. O Romaneio vai puxar tudo daqui.</t>
        </is>
      </c>
    </row>
    <row r="5" ht="13.5" customHeight="1" s="109">
      <c r="A5" s="1" t="n"/>
      <c r="B5" s="1" t="n"/>
      <c r="C5" s="1" t="n"/>
      <c r="D5" s="1" t="n"/>
      <c r="E5" s="28" t="inlineStr">
        <is>
          <t>FILAMENTOS</t>
        </is>
      </c>
      <c r="F5" s="114" t="n"/>
      <c r="G5" s="114" t="n"/>
      <c r="H5" s="114" t="n"/>
      <c r="I5" s="114" t="n"/>
      <c r="J5" s="115" t="n"/>
      <c r="K5" s="1" t="n"/>
      <c r="L5" s="1" t="n"/>
      <c r="M5" s="1" t="n"/>
      <c r="N5" s="1" t="n"/>
      <c r="O5" s="29" t="inlineStr">
        <is>
          <t>MODELADOR</t>
        </is>
      </c>
      <c r="P5" s="115" t="n"/>
      <c r="Q5" s="30" t="inlineStr">
        <is>
          <t>PRECIFICAÇÃO</t>
        </is>
      </c>
      <c r="R5" s="114" t="n"/>
      <c r="S5" s="115" t="n"/>
      <c r="T5" s="1" t="n"/>
      <c r="U5" s="1" t="n"/>
    </row>
    <row r="6" ht="21.75" customHeight="1" s="109">
      <c r="A6" s="7" t="inlineStr">
        <is>
          <t>Foto</t>
        </is>
      </c>
      <c r="B6" s="7" t="inlineStr">
        <is>
          <t>Nome do Produto</t>
        </is>
      </c>
      <c r="C6" s="7" t="inlineStr">
        <is>
          <t>Categoria</t>
        </is>
      </c>
      <c r="D6" s="7" t="inlineStr">
        <is>
          <t>Cor / Variação</t>
        </is>
      </c>
      <c r="E6" s="28" t="inlineStr">
        <is>
          <t>Filamento 1</t>
        </is>
      </c>
      <c r="F6" s="28" t="inlineStr">
        <is>
          <t>g</t>
        </is>
      </c>
      <c r="G6" s="28" t="inlineStr">
        <is>
          <t>Filamento 2</t>
        </is>
      </c>
      <c r="H6" s="28" t="inlineStr">
        <is>
          <t>g</t>
        </is>
      </c>
      <c r="I6" s="28" t="inlineStr">
        <is>
          <t>Filamento 3</t>
        </is>
      </c>
      <c r="J6" s="28" t="inlineStr">
        <is>
          <t>g</t>
        </is>
      </c>
      <c r="K6" s="7" t="inlineStr">
        <is>
          <t>Horas</t>
        </is>
      </c>
      <c r="L6" s="7" t="inlineStr">
        <is>
          <t>Bico</t>
        </is>
      </c>
      <c r="M6" s="7" t="inlineStr">
        <is>
          <t>Chaveiro?</t>
        </is>
      </c>
      <c r="N6" s="7" t="inlineStr">
        <is>
          <t>Ímã?</t>
        </is>
      </c>
      <c r="O6" s="29" t="inlineStr">
        <is>
          <t>Modelador</t>
        </is>
      </c>
      <c r="P6" s="29" t="inlineStr">
        <is>
          <t>R$ Model</t>
        </is>
      </c>
      <c r="Q6" s="30" t="inlineStr">
        <is>
          <t>Custo Est.</t>
        </is>
      </c>
      <c r="R6" s="30" t="inlineStr">
        <is>
          <t>Preço Varejo</t>
        </is>
      </c>
      <c r="S6" s="30" t="inlineStr">
        <is>
          <t>Preço Atacado</t>
        </is>
      </c>
      <c r="T6" s="7" t="inlineStr">
        <is>
          <t>Link Foto (Drive)</t>
        </is>
      </c>
      <c r="U6" s="7" t="inlineStr">
        <is>
          <t>Observações</t>
        </is>
      </c>
      <c r="V6" s="0" t="inlineStr">
        <is>
          <t>SKU</t>
        </is>
      </c>
    </row>
    <row r="7" ht="54.75" customHeight="1" s="109">
      <c r="A7" s="31">
        <f>IF(T7="","",IMAGE(T7,4,50,50))</f>
        <v/>
      </c>
      <c r="B7" s="32" t="inlineStr">
        <is>
          <t>Caixinha Verde e Amarela</t>
        </is>
      </c>
      <c r="C7" s="33" t="inlineStr">
        <is>
          <t>Caixinha</t>
        </is>
      </c>
      <c r="D7" s="8" t="inlineStr">
        <is>
          <t>Verde e Amarela</t>
        </is>
      </c>
      <c r="E7" s="34" t="inlineStr">
        <is>
          <t>Verde</t>
        </is>
      </c>
      <c r="F7" s="35" t="n">
        <v>50</v>
      </c>
      <c r="G7" s="34" t="inlineStr">
        <is>
          <t>Amarelo</t>
        </is>
      </c>
      <c r="H7" s="35" t="n">
        <v>30</v>
      </c>
      <c r="I7" s="34" t="n"/>
      <c r="J7" s="35" t="n">
        <v>0</v>
      </c>
      <c r="K7" s="36" t="n">
        <v>2.5</v>
      </c>
      <c r="L7" s="33" t="inlineStr">
        <is>
          <t>0.4</t>
        </is>
      </c>
      <c r="M7" s="33" t="inlineStr">
        <is>
          <t>Não</t>
        </is>
      </c>
      <c r="N7" s="33" t="inlineStr">
        <is>
          <t>Não</t>
        </is>
      </c>
      <c r="O7" s="37" t="n"/>
      <c r="P7" s="38" t="n"/>
      <c r="Q7" s="39">
        <f>IF(F7=0,"",(F7+H7+J7)/1000*'⚙️ Parâmetros'!B6+K7*'⚙️ Parâmetros'!B7*'⚙️ Parâmetros'!B8+K7*'⚙️ Parâmetros'!B9+'⚙️ Parâmetros'!B10+IF(M7="Sim",'⚙️ Parâmetros'!B11,0)+IF(N7="Sim",'⚙️ Parâmetros'!B12,0)+IF(P7="",0,P7))</f>
        <v/>
      </c>
      <c r="R7" s="40">
        <f>IF(Q7="","",Q7*'⚙️ Parâmetros'!B13)</f>
        <v/>
      </c>
      <c r="S7" s="41">
        <f>IF(Q7="","",Q7*'⚙️ Parâmetros'!B14)</f>
        <v/>
      </c>
      <c r="T7" s="91" t="n"/>
      <c r="U7" s="43" t="n"/>
      <c r="V7" s="0">
        <f>IF(B7="","",IFERROR(VLOOKUP(C7,'⚙️ Parâmetros'!$A$20:$B$29,2,0)&amp;"-2026-"&amp;TEXT(COUNTIF($B$7:B7,B7),"000"),""))</f>
        <v/>
      </c>
    </row>
    <row r="8" ht="54.75" customHeight="1" s="109">
      <c r="A8" s="44">
        <f>IF(T8="","",IMAGE(T8,4,50,50))</f>
        <v/>
      </c>
      <c r="B8" s="45" t="inlineStr">
        <is>
          <t>Caixinha Azul e Branca</t>
        </is>
      </c>
      <c r="C8" s="46" t="inlineStr">
        <is>
          <t>Caixinha</t>
        </is>
      </c>
      <c r="D8" s="12" t="inlineStr">
        <is>
          <t>Azul e Branca</t>
        </is>
      </c>
      <c r="E8" s="47" t="inlineStr">
        <is>
          <t>Azul</t>
        </is>
      </c>
      <c r="F8" s="48" t="n">
        <v>50</v>
      </c>
      <c r="G8" s="47" t="inlineStr">
        <is>
          <t>Branco</t>
        </is>
      </c>
      <c r="H8" s="48" t="n">
        <v>30</v>
      </c>
      <c r="I8" s="47" t="n"/>
      <c r="J8" s="48" t="n">
        <v>0</v>
      </c>
      <c r="K8" s="49" t="n">
        <v>2.5</v>
      </c>
      <c r="L8" s="46" t="inlineStr">
        <is>
          <t>0.4</t>
        </is>
      </c>
      <c r="M8" s="46" t="inlineStr">
        <is>
          <t>Não</t>
        </is>
      </c>
      <c r="N8" s="46" t="inlineStr">
        <is>
          <t>Não</t>
        </is>
      </c>
      <c r="O8" s="50" t="n"/>
      <c r="P8" s="51" t="n"/>
      <c r="Q8" s="39">
        <f>IF(F8=0,"",(F8+H8+J8)/1000*'⚙️ Parâmetros'!B6+K8*'⚙️ Parâmetros'!B7*'⚙️ Parâmetros'!B8+K8*'⚙️ Parâmetros'!B9+'⚙️ Parâmetros'!B10+IF(M8="Sim",'⚙️ Parâmetros'!B11,0)+IF(N8="Sim",'⚙️ Parâmetros'!B12,0)+IF(P8="",0,P8))</f>
        <v/>
      </c>
      <c r="R8" s="40">
        <f>IF(Q8="","",Q8*'⚙️ Parâmetros'!B13)</f>
        <v/>
      </c>
      <c r="S8" s="41">
        <f>IF(Q8="","",Q8*'⚙️ Parâmetros'!B14)</f>
        <v/>
      </c>
      <c r="T8" s="91" t="n"/>
      <c r="U8" s="52" t="n"/>
      <c r="V8" s="0">
        <f>IF(B8="","",IFERROR(VLOOKUP(C8,'⚙️ Parâmetros'!$A$20:$B$29,2,0)&amp;"-2026-"&amp;TEXT(COUNTIF($B$7:B8,B8),"000"),""))</f>
        <v/>
      </c>
    </row>
    <row r="9" ht="54.75" customHeight="1" s="109">
      <c r="A9" s="31">
        <f>IF(T9="","",IMAGE(T9,4,50,50))</f>
        <v/>
      </c>
      <c r="B9" s="32" t="inlineStr">
        <is>
          <t>Caixinha Branca e Azul</t>
        </is>
      </c>
      <c r="C9" s="33" t="inlineStr">
        <is>
          <t>Caixinha</t>
        </is>
      </c>
      <c r="D9" s="8" t="inlineStr">
        <is>
          <t>Branca e Azul</t>
        </is>
      </c>
      <c r="E9" s="34" t="inlineStr">
        <is>
          <t>Branco</t>
        </is>
      </c>
      <c r="F9" s="35" t="n">
        <v>50</v>
      </c>
      <c r="G9" s="34" t="inlineStr">
        <is>
          <t>Azul</t>
        </is>
      </c>
      <c r="H9" s="35" t="n">
        <v>30</v>
      </c>
      <c r="I9" s="34" t="n"/>
      <c r="J9" s="35" t="n">
        <v>0</v>
      </c>
      <c r="K9" s="36" t="n">
        <v>2.5</v>
      </c>
      <c r="L9" s="33" t="inlineStr">
        <is>
          <t>0.4</t>
        </is>
      </c>
      <c r="M9" s="33" t="inlineStr">
        <is>
          <t>Não</t>
        </is>
      </c>
      <c r="N9" s="33" t="inlineStr">
        <is>
          <t>Não</t>
        </is>
      </c>
      <c r="O9" s="37" t="n"/>
      <c r="P9" s="38" t="n"/>
      <c r="Q9" s="39">
        <f>IF(F9=0,"",(F9+H9+J9)/1000*'⚙️ Parâmetros'!B6+K9*'⚙️ Parâmetros'!B7*'⚙️ Parâmetros'!B8+K9*'⚙️ Parâmetros'!B9+'⚙️ Parâmetros'!B10+IF(M9="Sim",'⚙️ Parâmetros'!B11,0)+IF(N9="Sim",'⚙️ Parâmetros'!B12,0)+IF(P9="",0,P9))</f>
        <v/>
      </c>
      <c r="R9" s="40">
        <f>IF(Q9="","",Q9*'⚙️ Parâmetros'!B13)</f>
        <v/>
      </c>
      <c r="S9" s="41">
        <f>IF(Q9="","",Q9*'⚙️ Parâmetros'!B14)</f>
        <v/>
      </c>
      <c r="T9" s="91" t="n"/>
      <c r="U9" s="43" t="n"/>
      <c r="V9" s="0">
        <f>IF(B9="","",IFERROR(VLOOKUP(C9,'⚙️ Parâmetros'!$A$20:$B$29,2,0)&amp;"-2026-"&amp;TEXT(COUNTIF($B$7:B9,B9),"000"),""))</f>
        <v/>
      </c>
    </row>
    <row r="10" ht="54.75" customHeight="1" s="109">
      <c r="A10" s="44">
        <f>IF(T10="","",IMAGE(T10,4,50,50))</f>
        <v/>
      </c>
      <c r="B10" s="45" t="inlineStr">
        <is>
          <t>Chaveiro Flor Rosa</t>
        </is>
      </c>
      <c r="C10" s="46" t="inlineStr">
        <is>
          <t>Chaveiro</t>
        </is>
      </c>
      <c r="D10" s="12" t="inlineStr">
        <is>
          <t>Rosa e Branco</t>
        </is>
      </c>
      <c r="E10" s="47" t="inlineStr">
        <is>
          <t>Rosa</t>
        </is>
      </c>
      <c r="F10" s="48" t="n">
        <v>10</v>
      </c>
      <c r="G10" s="47" t="inlineStr">
        <is>
          <t>Branco</t>
        </is>
      </c>
      <c r="H10" s="48" t="n">
        <v>2</v>
      </c>
      <c r="I10" s="47" t="n"/>
      <c r="J10" s="48" t="n">
        <v>0</v>
      </c>
      <c r="K10" s="49" t="n">
        <v>1</v>
      </c>
      <c r="L10" s="46" t="inlineStr">
        <is>
          <t>0.4</t>
        </is>
      </c>
      <c r="M10" s="46" t="inlineStr">
        <is>
          <t>Sim</t>
        </is>
      </c>
      <c r="N10" s="46" t="inlineStr">
        <is>
          <t>Não</t>
        </is>
      </c>
      <c r="O10" s="50" t="n"/>
      <c r="P10" s="51" t="n"/>
      <c r="Q10" s="39">
        <f>IF(F10=0,"",(F10+H10+J10)/1000*'⚙️ Parâmetros'!B6+K10*'⚙️ Parâmetros'!B7*'⚙️ Parâmetros'!B8+K10*'⚙️ Parâmetros'!B9+'⚙️ Parâmetros'!B10+IF(M10="Sim",'⚙️ Parâmetros'!B11,0)+IF(N10="Sim",'⚙️ Parâmetros'!B12,0)+IF(P10="",0,P10))</f>
        <v/>
      </c>
      <c r="R10" s="40">
        <f>IF(Q10="","",Q10*'⚙️ Parâmetros'!B13)</f>
        <v/>
      </c>
      <c r="S10" s="41">
        <f>IF(Q10="","",Q10*'⚙️ Parâmetros'!B14)</f>
        <v/>
      </c>
      <c r="T10" s="91" t="n"/>
      <c r="U10" s="52" t="n"/>
      <c r="V10" s="0">
        <f>IF(B10="","",IFERROR(VLOOKUP(C10,'⚙️ Parâmetros'!$A$20:$B$29,2,0)&amp;"-2026-"&amp;TEXT(COUNTIF($B$7:B10,B10),"000"),""))</f>
        <v/>
      </c>
    </row>
    <row r="11" ht="54.75" customHeight="1" s="109">
      <c r="A11" s="31">
        <f>IF(T11="","",IMAGE(T11,4,50,50))</f>
        <v/>
      </c>
      <c r="B11" s="32" t="inlineStr">
        <is>
          <t>Polvo</t>
        </is>
      </c>
      <c r="C11" s="33" t="inlineStr">
        <is>
          <t>Miniatura</t>
        </is>
      </c>
      <c r="D11" s="8" t="inlineStr">
        <is>
          <t>Azul</t>
        </is>
      </c>
      <c r="E11" s="34" t="inlineStr">
        <is>
          <t>Azul</t>
        </is>
      </c>
      <c r="F11" s="35" t="n">
        <v>30</v>
      </c>
      <c r="G11" s="34" t="inlineStr">
        <is>
          <t>Branco</t>
        </is>
      </c>
      <c r="H11" s="35" t="n">
        <v>10</v>
      </c>
      <c r="I11" s="34" t="inlineStr">
        <is>
          <t>Preto</t>
        </is>
      </c>
      <c r="J11" s="35" t="n">
        <v>5</v>
      </c>
      <c r="K11" s="36" t="n">
        <v>4</v>
      </c>
      <c r="L11" s="33" t="inlineStr">
        <is>
          <t>0.2</t>
        </is>
      </c>
      <c r="M11" s="33" t="inlineStr">
        <is>
          <t>Não</t>
        </is>
      </c>
      <c r="N11" s="33" t="inlineStr">
        <is>
          <t>Não</t>
        </is>
      </c>
      <c r="O11" s="37" t="n"/>
      <c r="P11" s="38" t="n"/>
      <c r="Q11" s="39">
        <f>IF(F11=0,"",(F11+H11+J11)/1000*'⚙️ Parâmetros'!B6+K11*'⚙️ Parâmetros'!B7*'⚙️ Parâmetros'!B8+K11*'⚙️ Parâmetros'!B9+'⚙️ Parâmetros'!B10+IF(M11="Sim",'⚙️ Parâmetros'!B11,0)+IF(N11="Sim",'⚙️ Parâmetros'!B12,0)+IF(P11="",0,P11))</f>
        <v/>
      </c>
      <c r="R11" s="40">
        <f>IF(Q11="","",Q11*'⚙️ Parâmetros'!B13)</f>
        <v/>
      </c>
      <c r="S11" s="41">
        <f>IF(Q11="","",Q11*'⚙️ Parâmetros'!B14)</f>
        <v/>
      </c>
      <c r="T11" s="91" t="n"/>
      <c r="U11" s="43" t="inlineStr">
        <is>
          <t>Estoque: 12 un</t>
        </is>
      </c>
      <c r="V11" s="0">
        <f>IF(B11="","",IFERROR(VLOOKUP(C11,'⚙️ Parâmetros'!$A$20:$B$29,2,0)&amp;"-2026-"&amp;TEXT(COUNTIF($B$7:B11,B11),"000"),""))</f>
        <v/>
      </c>
    </row>
    <row r="12" ht="54.75" customHeight="1" s="109">
      <c r="A12" s="44">
        <f>IF(T12="","",IMAGE(T12,4,50,50))</f>
        <v/>
      </c>
      <c r="B12" s="12" t="inlineStr">
        <is>
          <t>Estádio Corinthians</t>
        </is>
      </c>
      <c r="C12" s="12" t="inlineStr">
        <is>
          <t>Miniatura</t>
        </is>
      </c>
      <c r="D12" s="12" t="inlineStr">
        <is>
          <t>Preto e Branco</t>
        </is>
      </c>
      <c r="E12" s="47" t="inlineStr">
        <is>
          <t>Preto</t>
        </is>
      </c>
      <c r="F12" s="48" t="n">
        <v>35</v>
      </c>
      <c r="G12" s="47" t="inlineStr">
        <is>
          <t>Branco</t>
        </is>
      </c>
      <c r="H12" s="48" t="n">
        <v>20</v>
      </c>
      <c r="I12" s="47" t="n"/>
      <c r="J12" s="48" t="n"/>
      <c r="K12" s="49" t="n">
        <v>4.5</v>
      </c>
      <c r="L12" s="46" t="inlineStr">
        <is>
          <t>0.4</t>
        </is>
      </c>
      <c r="M12" s="46" t="inlineStr">
        <is>
          <t>Não</t>
        </is>
      </c>
      <c r="N12" s="46" t="inlineStr">
        <is>
          <t>Não</t>
        </is>
      </c>
      <c r="O12" s="50" t="n"/>
      <c r="P12" s="51" t="n"/>
      <c r="Q12" s="39">
        <f>IF(F12=0,"",(F12+H12+J12)/1000*'⚙️ Parâmetros'!B6+K12*'⚙️ Parâmetros'!B7*'⚙️ Parâmetros'!B8+K12*'⚙️ Parâmetros'!B9+'⚙️ Parâmetros'!B10+IF(M12="Sim",'⚙️ Parâmetros'!B11,0)+IF(N12="Sim",'⚙️ Parâmetros'!B12,0)+IF(P12="",0,P12))</f>
        <v/>
      </c>
      <c r="R12" s="40">
        <f>IF(Q12="","",Q12*'⚙️ Parâmetros'!B13)</f>
        <v/>
      </c>
      <c r="S12" s="41">
        <f>IF(Q12="","",Q12*'⚙️ Parâmetros'!B14)</f>
        <v/>
      </c>
      <c r="T12" s="91" t="n"/>
      <c r="U12" s="52" t="inlineStr">
        <is>
          <t>Estádio time Corinthians</t>
        </is>
      </c>
      <c r="V12" s="0">
        <f>IF(B12="","",IFERROR(VLOOKUP(C12,'⚙️ Parâmetros'!$A$20:$B$29,2,0)&amp;"-2026-"&amp;TEXT(COUNTIF($B$7:B12,B12),"000"),""))</f>
        <v/>
      </c>
    </row>
    <row r="13" ht="54.75" customHeight="1" s="109">
      <c r="A13" s="31">
        <f>IF(T13="","",IMAGE(T13,4,50,50))</f>
        <v/>
      </c>
      <c r="B13" s="8" t="inlineStr">
        <is>
          <t>Estádio Palmeiras</t>
        </is>
      </c>
      <c r="C13" s="8" t="inlineStr">
        <is>
          <t>Miniatura</t>
        </is>
      </c>
      <c r="D13" s="8" t="inlineStr">
        <is>
          <t>Verde e Branco</t>
        </is>
      </c>
      <c r="E13" s="34" t="inlineStr">
        <is>
          <t>Verde</t>
        </is>
      </c>
      <c r="F13" s="35" t="n">
        <v>40</v>
      </c>
      <c r="G13" s="34" t="inlineStr">
        <is>
          <t>Branco</t>
        </is>
      </c>
      <c r="H13" s="35" t="n">
        <v>15</v>
      </c>
      <c r="I13" s="34" t="n"/>
      <c r="J13" s="35" t="n"/>
      <c r="K13" s="36" t="n">
        <v>4.5</v>
      </c>
      <c r="L13" s="33" t="inlineStr">
        <is>
          <t>0.4</t>
        </is>
      </c>
      <c r="M13" s="33" t="inlineStr">
        <is>
          <t>Não</t>
        </is>
      </c>
      <c r="N13" s="33" t="inlineStr">
        <is>
          <t>Não</t>
        </is>
      </c>
      <c r="O13" s="37" t="n"/>
      <c r="P13" s="38" t="n"/>
      <c r="Q13" s="39">
        <f>IF(F13=0,"",(F13+H13+J13)/1000*'⚙️ Parâmetros'!B6+K13*'⚙️ Parâmetros'!B7*'⚙️ Parâmetros'!B8+K13*'⚙️ Parâmetros'!B9+'⚙️ Parâmetros'!B10+IF(M13="Sim",'⚙️ Parâmetros'!B11,0)+IF(N13="Sim",'⚙️ Parâmetros'!B12,0)+IF(P13="",0,P13))</f>
        <v/>
      </c>
      <c r="R13" s="40">
        <f>IF(Q13="","",Q13*'⚙️ Parâmetros'!B13)</f>
        <v/>
      </c>
      <c r="S13" s="41">
        <f>IF(Q13="","",Q13*'⚙️ Parâmetros'!B14)</f>
        <v/>
      </c>
      <c r="T13" s="91" t="n"/>
      <c r="U13" s="43" t="inlineStr">
        <is>
          <t>Estádio time Palmeiras</t>
        </is>
      </c>
      <c r="V13" s="0">
        <f>IF(B13="","",IFERROR(VLOOKUP(C13,'⚙️ Parâmetros'!$A$20:$B$29,2,0)&amp;"-2026-"&amp;TEXT(COUNTIF($B$7:B13,B13),"000"),""))</f>
        <v/>
      </c>
    </row>
    <row r="14" ht="54.75" customHeight="1" s="109">
      <c r="A14" s="44">
        <f>IF(T14="","",IMAGE(T14,4,50,50))</f>
        <v/>
      </c>
      <c r="B14" s="12" t="inlineStr">
        <is>
          <t>Estádio São Paulo</t>
        </is>
      </c>
      <c r="C14" s="12" t="inlineStr">
        <is>
          <t>Miniatura</t>
        </is>
      </c>
      <c r="D14" s="12" t="inlineStr">
        <is>
          <t>Vermelho, Branco e Preto</t>
        </is>
      </c>
      <c r="E14" s="47" t="inlineStr">
        <is>
          <t>Vermelho</t>
        </is>
      </c>
      <c r="F14" s="48" t="n">
        <v>25</v>
      </c>
      <c r="G14" s="47" t="inlineStr">
        <is>
          <t>Branco</t>
        </is>
      </c>
      <c r="H14" s="48" t="n">
        <v>20</v>
      </c>
      <c r="I14" s="47" t="inlineStr">
        <is>
          <t>Preto</t>
        </is>
      </c>
      <c r="J14" s="48" t="n">
        <v>10</v>
      </c>
      <c r="K14" s="49" t="n">
        <v>4.5</v>
      </c>
      <c r="L14" s="46" t="inlineStr">
        <is>
          <t>0.4</t>
        </is>
      </c>
      <c r="M14" s="46" t="inlineStr">
        <is>
          <t>Não</t>
        </is>
      </c>
      <c r="N14" s="46" t="inlineStr">
        <is>
          <t>Não</t>
        </is>
      </c>
      <c r="O14" s="50" t="n"/>
      <c r="P14" s="51" t="n"/>
      <c r="Q14" s="39">
        <f>IF(F14=0,"",(F14+H14+J14)/1000*'⚙️ Parâmetros'!B6+K14*'⚙️ Parâmetros'!B7*'⚙️ Parâmetros'!B8+K14*'⚙️ Parâmetros'!B9+'⚙️ Parâmetros'!B10+IF(M14="Sim",'⚙️ Parâmetros'!B11,0)+IF(N14="Sim",'⚙️ Parâmetros'!B12,0)+IF(P14="",0,P14))</f>
        <v/>
      </c>
      <c r="R14" s="40">
        <f>IF(Q14="","",Q14*'⚙️ Parâmetros'!B13)</f>
        <v/>
      </c>
      <c r="S14" s="41">
        <f>IF(Q14="","",Q14*'⚙️ Parâmetros'!B14)</f>
        <v/>
      </c>
      <c r="T14" s="91" t="n"/>
      <c r="U14" s="52" t="inlineStr">
        <is>
          <t>Estádio time São Paulo</t>
        </is>
      </c>
      <c r="V14" s="0">
        <f>IF(B14="","",IFERROR(VLOOKUP(C14,'⚙️ Parâmetros'!$A$20:$B$29,2,0)&amp;"-2026-"&amp;TEXT(COUNTIF($B$7:B14,B14),"000"),""))</f>
        <v/>
      </c>
    </row>
    <row r="15" ht="54.75" customHeight="1" s="109">
      <c r="A15" s="31">
        <f>IF(T15="","",IMAGE(T15,4,50,50))</f>
        <v/>
      </c>
      <c r="B15" s="8" t="inlineStr">
        <is>
          <t>Martelo Thor</t>
        </is>
      </c>
      <c r="C15" s="8" t="inlineStr">
        <is>
          <t>Miniatura</t>
        </is>
      </c>
      <c r="D15" s="8" t="inlineStr">
        <is>
          <t>Cinza e Prata</t>
        </is>
      </c>
      <c r="E15" s="34" t="inlineStr">
        <is>
          <t>Cinza</t>
        </is>
      </c>
      <c r="F15" s="35" t="n">
        <v>30</v>
      </c>
      <c r="G15" s="34" t="n"/>
      <c r="H15" s="35" t="n"/>
      <c r="I15" s="34" t="n"/>
      <c r="J15" s="35" t="n"/>
      <c r="K15" s="36" t="n">
        <v>3</v>
      </c>
      <c r="L15" s="33" t="inlineStr">
        <is>
          <t>0.4</t>
        </is>
      </c>
      <c r="M15" s="33" t="inlineStr">
        <is>
          <t>Não</t>
        </is>
      </c>
      <c r="N15" s="33" t="inlineStr">
        <is>
          <t>Não</t>
        </is>
      </c>
      <c r="O15" s="37" t="n"/>
      <c r="P15" s="38" t="n"/>
      <c r="Q15" s="39">
        <f>IF(F15=0,"",(F15+H15+J15)/1000*'⚙️ Parâmetros'!B6+K15*'⚙️ Parâmetros'!B7*'⚙️ Parâmetros'!B8+K15*'⚙️ Parâmetros'!B9+'⚙️ Parâmetros'!B10+IF(M15="Sim",'⚙️ Parâmetros'!B11,0)+IF(N15="Sim",'⚙️ Parâmetros'!B12,0)+IF(P15="",0,P15))</f>
        <v/>
      </c>
      <c r="R15" s="40">
        <f>IF(Q15="","",Q15*'⚙️ Parâmetros'!B13)</f>
        <v/>
      </c>
      <c r="S15" s="41">
        <f>IF(Q15="","",Q15*'⚙️ Parâmetros'!B14)</f>
        <v/>
      </c>
      <c r="T15" s="91" t="n"/>
      <c r="U15" s="43" t="inlineStr">
        <is>
          <t>Martelo do Thor</t>
        </is>
      </c>
      <c r="V15" s="0">
        <f>IF(B15="","",IFERROR(VLOOKUP(C15,'⚙️ Parâmetros'!$A$20:$B$29,2,0)&amp;"-2026-"&amp;TEXT(COUNTIF($B$7:B15,B15),"000"),""))</f>
        <v/>
      </c>
    </row>
    <row r="16" ht="54.75" customHeight="1" s="109">
      <c r="A16" s="44">
        <f>IF(T16="","",IMAGE(T16,4,50,50))</f>
        <v/>
      </c>
      <c r="B16" s="12" t="inlineStr">
        <is>
          <t>Estádio Santos</t>
        </is>
      </c>
      <c r="C16" s="12" t="inlineStr">
        <is>
          <t>Miniatura</t>
        </is>
      </c>
      <c r="D16" s="12" t="inlineStr">
        <is>
          <t>Branco e Preto</t>
        </is>
      </c>
      <c r="E16" s="47" t="inlineStr">
        <is>
          <t>Branco</t>
        </is>
      </c>
      <c r="F16" s="48" t="n">
        <v>35</v>
      </c>
      <c r="G16" s="47" t="inlineStr">
        <is>
          <t>Preto</t>
        </is>
      </c>
      <c r="H16" s="48" t="n">
        <v>15</v>
      </c>
      <c r="I16" s="47" t="n"/>
      <c r="J16" s="48" t="n"/>
      <c r="K16" s="49" t="n">
        <v>4.5</v>
      </c>
      <c r="L16" s="46" t="inlineStr">
        <is>
          <t>0.4</t>
        </is>
      </c>
      <c r="M16" s="46" t="inlineStr">
        <is>
          <t>Não</t>
        </is>
      </c>
      <c r="N16" s="46" t="inlineStr">
        <is>
          <t>Não</t>
        </is>
      </c>
      <c r="O16" s="50" t="n"/>
      <c r="P16" s="51" t="n"/>
      <c r="Q16" s="39">
        <f>IF(F16=0,"",(F16+H16+J16)/1000*'⚙️ Parâmetros'!B6+K16*'⚙️ Parâmetros'!B7*'⚙️ Parâmetros'!B8+K16*'⚙️ Parâmetros'!B9+'⚙️ Parâmetros'!B10+IF(M16="Sim",'⚙️ Parâmetros'!B11,0)+IF(N16="Sim",'⚙️ Parâmetros'!B12,0)+IF(P16="",0,P16))</f>
        <v/>
      </c>
      <c r="R16" s="40">
        <f>IF(Q16="","",Q16*'⚙️ Parâmetros'!B13)</f>
        <v/>
      </c>
      <c r="S16" s="41">
        <f>IF(Q16="","",Q16*'⚙️ Parâmetros'!B14)</f>
        <v/>
      </c>
      <c r="T16" s="91" t="n"/>
      <c r="U16" s="52" t="inlineStr">
        <is>
          <t>Estádio time Santos</t>
        </is>
      </c>
      <c r="V16" s="0">
        <f>IF(B16="","",IFERROR(VLOOKUP(C16,'⚙️ Parâmetros'!$A$20:$B$29,2,0)&amp;"-2026-"&amp;TEXT(COUNTIF($B$7:B16,B16),"000"),""))</f>
        <v/>
      </c>
    </row>
    <row r="17" ht="54.75" customHeight="1" s="109">
      <c r="A17" s="31">
        <f>IF(T17="","",IMAGE(T17,4,50,50))</f>
        <v/>
      </c>
      <c r="B17" s="8" t="inlineStr">
        <is>
          <t>Estádio Flamengo</t>
        </is>
      </c>
      <c r="C17" s="8" t="inlineStr">
        <is>
          <t>Miniatura</t>
        </is>
      </c>
      <c r="D17" s="8" t="inlineStr">
        <is>
          <t>Vermelho e Preto</t>
        </is>
      </c>
      <c r="E17" s="34" t="inlineStr">
        <is>
          <t>Vermelho</t>
        </is>
      </c>
      <c r="F17" s="35" t="n">
        <v>35</v>
      </c>
      <c r="G17" s="34" t="inlineStr">
        <is>
          <t>Preto</t>
        </is>
      </c>
      <c r="H17" s="35" t="n">
        <v>15</v>
      </c>
      <c r="I17" s="34" t="n"/>
      <c r="J17" s="35" t="n"/>
      <c r="K17" s="36" t="n">
        <v>4.5</v>
      </c>
      <c r="L17" s="33" t="inlineStr">
        <is>
          <t>0.4</t>
        </is>
      </c>
      <c r="M17" s="33" t="inlineStr">
        <is>
          <t>Não</t>
        </is>
      </c>
      <c r="N17" s="33" t="inlineStr">
        <is>
          <t>Não</t>
        </is>
      </c>
      <c r="O17" s="37" t="n"/>
      <c r="P17" s="38" t="n"/>
      <c r="Q17" s="39">
        <f>IF(F17=0,"",(F17+H17+J17)/1000*'⚙️ Parâmetros'!B6+K17*'⚙️ Parâmetros'!B7*'⚙️ Parâmetros'!B8+K17*'⚙️ Parâmetros'!B9+'⚙️ Parâmetros'!B10+IF(M17="Sim",'⚙️ Parâmetros'!B11,0)+IF(N17="Sim",'⚙️ Parâmetros'!B12,0)+IF(P17="",0,P17))</f>
        <v/>
      </c>
      <c r="R17" s="40">
        <f>IF(Q17="","",Q17*'⚙️ Parâmetros'!B13)</f>
        <v/>
      </c>
      <c r="S17" s="41">
        <f>IF(Q17="","",Q17*'⚙️ Parâmetros'!B14)</f>
        <v/>
      </c>
      <c r="T17" s="91" t="n"/>
      <c r="U17" s="43" t="inlineStr">
        <is>
          <t>Estádio time Flamengo</t>
        </is>
      </c>
      <c r="V17" s="0">
        <f>IF(B17="","",IFERROR(VLOOKUP(C17,'⚙️ Parâmetros'!$A$20:$B$29,2,0)&amp;"-2026-"&amp;TEXT(COUNTIF($B$7:B17,B17),"000"),""))</f>
        <v/>
      </c>
    </row>
    <row r="18" ht="54.75" customHeight="1" s="109">
      <c r="A18" s="44">
        <f>IF(T18="","",IMAGE(T18,4,50,50))</f>
        <v/>
      </c>
      <c r="B18" s="12" t="inlineStr">
        <is>
          <t>Escudo Flamengo</t>
        </is>
      </c>
      <c r="C18" s="12" t="inlineStr">
        <is>
          <t>Miniatura</t>
        </is>
      </c>
      <c r="D18" s="12" t="inlineStr">
        <is>
          <t>Vermelho e Preto</t>
        </is>
      </c>
      <c r="E18" s="47" t="inlineStr">
        <is>
          <t>Vermelho</t>
        </is>
      </c>
      <c r="F18" s="48" t="n">
        <v>10</v>
      </c>
      <c r="G18" s="47" t="inlineStr">
        <is>
          <t>Preto</t>
        </is>
      </c>
      <c r="H18" s="48" t="n">
        <v>5</v>
      </c>
      <c r="I18" s="47" t="n"/>
      <c r="J18" s="48" t="n"/>
      <c r="K18" s="49" t="n">
        <v>1.5</v>
      </c>
      <c r="L18" s="46" t="inlineStr">
        <is>
          <t>0.4</t>
        </is>
      </c>
      <c r="M18" s="46" t="inlineStr">
        <is>
          <t>Não</t>
        </is>
      </c>
      <c r="N18" s="46" t="inlineStr">
        <is>
          <t>Não</t>
        </is>
      </c>
      <c r="O18" s="50" t="n"/>
      <c r="P18" s="51" t="n"/>
      <c r="Q18" s="39">
        <f>IF(F18=0,"",(F18+H18+J18)/1000*'⚙️ Parâmetros'!B6+K18*'⚙️ Parâmetros'!B7*'⚙️ Parâmetros'!B8+K18*'⚙️ Parâmetros'!B9+'⚙️ Parâmetros'!B10+IF(M18="Sim",'⚙️ Parâmetros'!B11,0)+IF(N18="Sim",'⚙️ Parâmetros'!B12,0)+IF(P18="",0,P18))</f>
        <v/>
      </c>
      <c r="R18" s="40">
        <f>IF(Q18="","",Q18*'⚙️ Parâmetros'!B13)</f>
        <v/>
      </c>
      <c r="S18" s="41">
        <f>IF(Q18="","",Q18*'⚙️ Parâmetros'!B14)</f>
        <v/>
      </c>
      <c r="T18" s="91" t="n"/>
      <c r="U18" s="52" t="inlineStr">
        <is>
          <t>Escudo time Flamengo</t>
        </is>
      </c>
      <c r="V18" s="0">
        <f>IF(B18="","",IFERROR(VLOOKUP(C18,'⚙️ Parâmetros'!$A$20:$B$29,2,0)&amp;"-2026-"&amp;TEXT(COUNTIF($B$7:B18,B18),"000"),""))</f>
        <v/>
      </c>
    </row>
    <row r="19" ht="54.75" customHeight="1" s="109">
      <c r="A19" s="31">
        <f>IF(T19="","",IMAGE(T19,4,50,50))</f>
        <v/>
      </c>
      <c r="B19" s="8" t="inlineStr">
        <is>
          <t>Estela Sensorial Maior</t>
        </is>
      </c>
      <c r="C19" s="8" t="inlineStr">
        <is>
          <t>Enfeite/Decoração</t>
        </is>
      </c>
      <c r="D19" s="8" t="inlineStr">
        <is>
          <t>Multicolor</t>
        </is>
      </c>
      <c r="E19" s="34" t="inlineStr">
        <is>
          <t>Verde</t>
        </is>
      </c>
      <c r="F19" s="35" t="n">
        <v>15</v>
      </c>
      <c r="G19" s="34" t="inlineStr">
        <is>
          <t>Amarelo</t>
        </is>
      </c>
      <c r="H19" s="35" t="n">
        <v>10</v>
      </c>
      <c r="I19" s="34" t="inlineStr">
        <is>
          <t>Azul</t>
        </is>
      </c>
      <c r="J19" s="35" t="n">
        <v>10</v>
      </c>
      <c r="K19" s="36" t="n">
        <v>3</v>
      </c>
      <c r="L19" s="33" t="inlineStr">
        <is>
          <t>0.4</t>
        </is>
      </c>
      <c r="M19" s="33" t="inlineStr">
        <is>
          <t>Não</t>
        </is>
      </c>
      <c r="N19" s="33" t="inlineStr">
        <is>
          <t>Não</t>
        </is>
      </c>
      <c r="O19" s="37" t="n"/>
      <c r="P19" s="38" t="n"/>
      <c r="Q19" s="39">
        <f>IF(F19=0,"",(F19+H19+J19)/1000*'⚙️ Parâmetros'!B6+K19*'⚙️ Parâmetros'!B7*'⚙️ Parâmetros'!B8+K19*'⚙️ Parâmetros'!B9+'⚙️ Parâmetros'!B10+IF(M19="Sim",'⚙️ Parâmetros'!B11,0)+IF(N19="Sim",'⚙️ Parâmetros'!B12,0)+IF(P19="",0,P19))</f>
        <v/>
      </c>
      <c r="R19" s="40">
        <f>IF(Q19="","",Q19*'⚙️ Parâmetros'!B13)</f>
        <v/>
      </c>
      <c r="S19" s="41">
        <f>IF(Q19="","",Q19*'⚙️ Parâmetros'!B14)</f>
        <v/>
      </c>
      <c r="T19" s="91" t="n"/>
      <c r="U19" s="43" t="inlineStr">
        <is>
          <t>Peça sensorial — modelo maior</t>
        </is>
      </c>
      <c r="V19" s="0">
        <f>IF(B19="","",IFERROR(VLOOKUP(C19,'⚙️ Parâmetros'!$A$20:$B$29,2,0)&amp;"-2026-"&amp;TEXT(COUNTIF($B$7:B19,B19),"000"),""))</f>
        <v/>
      </c>
    </row>
    <row r="20" ht="54.75" customHeight="1" s="109">
      <c r="A20" s="44">
        <f>IF(T20="","",IMAGE(T20,4,50,50))</f>
        <v/>
      </c>
      <c r="B20" s="12" t="inlineStr">
        <is>
          <t>Minicraft Verde</t>
        </is>
      </c>
      <c r="C20" s="12" t="inlineStr">
        <is>
          <t>Miniatura</t>
        </is>
      </c>
      <c r="D20" s="12" t="inlineStr">
        <is>
          <t>Verde</t>
        </is>
      </c>
      <c r="E20" s="47" t="inlineStr">
        <is>
          <t>Verde</t>
        </is>
      </c>
      <c r="F20" s="48" t="n">
        <v>18</v>
      </c>
      <c r="G20" s="47" t="n"/>
      <c r="H20" s="48" t="n"/>
      <c r="I20" s="47" t="n"/>
      <c r="J20" s="48" t="n"/>
      <c r="K20" s="49" t="n">
        <v>2</v>
      </c>
      <c r="L20" s="46" t="inlineStr">
        <is>
          <t>0.4</t>
        </is>
      </c>
      <c r="M20" s="46" t="inlineStr">
        <is>
          <t>Não</t>
        </is>
      </c>
      <c r="N20" s="46" t="inlineStr">
        <is>
          <t>Não</t>
        </is>
      </c>
      <c r="O20" s="50" t="n"/>
      <c r="P20" s="51" t="n"/>
      <c r="Q20" s="39">
        <f>IF(F20=0,"",(F20+H20+J20)/1000*'⚙️ Parâmetros'!B6+K20*'⚙️ Parâmetros'!B7*'⚙️ Parâmetros'!B8+K20*'⚙️ Parâmetros'!B9+'⚙️ Parâmetros'!B10+IF(M20="Sim",'⚙️ Parâmetros'!B11,0)+IF(N20="Sim",'⚙️ Parâmetros'!B12,0)+IF(P20="",0,P20))</f>
        <v/>
      </c>
      <c r="R20" s="40">
        <f>IF(Q20="","",Q20*'⚙️ Parâmetros'!B13)</f>
        <v/>
      </c>
      <c r="S20" s="41">
        <f>IF(Q20="","",Q20*'⚙️ Parâmetros'!B14)</f>
        <v/>
      </c>
      <c r="T20" s="91" t="n"/>
      <c r="U20" s="52" t="inlineStr">
        <is>
          <t>Estilo Minecraft</t>
        </is>
      </c>
      <c r="V20" s="0">
        <f>IF(B20="","",IFERROR(VLOOKUP(C20,'⚙️ Parâmetros'!$A$20:$B$29,2,0)&amp;"-2026-"&amp;TEXT(COUNTIF($B$7:B20,B20),"000"),""))</f>
        <v/>
      </c>
    </row>
    <row r="21" ht="54.75" customHeight="1" s="109">
      <c r="A21" s="31">
        <f>IF(T21="","",IMAGE(T21,4,50,50))</f>
        <v/>
      </c>
      <c r="B21" s="8" t="inlineStr">
        <is>
          <t>Pentágono Sensorial</t>
        </is>
      </c>
      <c r="C21" s="8" t="inlineStr">
        <is>
          <t>Enfeite/Decoração</t>
        </is>
      </c>
      <c r="D21" s="8" t="inlineStr">
        <is>
          <t>Multicolor</t>
        </is>
      </c>
      <c r="E21" s="34" t="inlineStr">
        <is>
          <t>Vermelho</t>
        </is>
      </c>
      <c r="F21" s="35" t="n">
        <v>12</v>
      </c>
      <c r="G21" s="34" t="inlineStr">
        <is>
          <t>Azul</t>
        </is>
      </c>
      <c r="H21" s="35" t="n">
        <v>10</v>
      </c>
      <c r="I21" s="34" t="inlineStr">
        <is>
          <t>Amarelo</t>
        </is>
      </c>
      <c r="J21" s="35" t="n">
        <v>8</v>
      </c>
      <c r="K21" s="36" t="n">
        <v>2.5</v>
      </c>
      <c r="L21" s="33" t="inlineStr">
        <is>
          <t>0.4</t>
        </is>
      </c>
      <c r="M21" s="33" t="inlineStr">
        <is>
          <t>Não</t>
        </is>
      </c>
      <c r="N21" s="33" t="inlineStr">
        <is>
          <t>Não</t>
        </is>
      </c>
      <c r="O21" s="37" t="n"/>
      <c r="P21" s="38" t="n"/>
      <c r="Q21" s="39">
        <f>IF(F21=0,"",(F21+H21+J21)/1000*'⚙️ Parâmetros'!B6+K21*'⚙️ Parâmetros'!B7*'⚙️ Parâmetros'!B8+K21*'⚙️ Parâmetros'!B9+'⚙️ Parâmetros'!B10+IF(M21="Sim",'⚙️ Parâmetros'!B11,0)+IF(N21="Sim",'⚙️ Parâmetros'!B12,0)+IF(P21="",0,P21))</f>
        <v/>
      </c>
      <c r="R21" s="40">
        <f>IF(Q21="","",Q21*'⚙️ Parâmetros'!B13)</f>
        <v/>
      </c>
      <c r="S21" s="41">
        <f>IF(Q21="","",Q21*'⚙️ Parâmetros'!B14)</f>
        <v/>
      </c>
      <c r="T21" s="91" t="n"/>
      <c r="U21" s="43" t="inlineStr">
        <is>
          <t>Peça sensorial pentágono</t>
        </is>
      </c>
      <c r="V21" s="0">
        <f>IF(B21="","",IFERROR(VLOOKUP(C21,'⚙️ Parâmetros'!$A$20:$B$29,2,0)&amp;"-2026-"&amp;TEXT(COUNTIF($B$7:B21,B21),"000"),""))</f>
        <v/>
      </c>
    </row>
    <row r="22" ht="54.75" customHeight="1" s="109">
      <c r="A22" s="44">
        <f>IF(T22="","",IMAGE(T22,4,50,50))</f>
        <v/>
      </c>
      <c r="B22" s="12" t="inlineStr">
        <is>
          <t>Tubarão</t>
        </is>
      </c>
      <c r="C22" s="12" t="inlineStr">
        <is>
          <t>Miniatura</t>
        </is>
      </c>
      <c r="D22" s="12" t="inlineStr">
        <is>
          <t>Cinza e Azul</t>
        </is>
      </c>
      <c r="E22" s="47" t="inlineStr">
        <is>
          <t>Cinza</t>
        </is>
      </c>
      <c r="F22" s="48" t="n">
        <v>20</v>
      </c>
      <c r="G22" s="47" t="inlineStr">
        <is>
          <t>Azul</t>
        </is>
      </c>
      <c r="H22" s="48" t="n">
        <v>8</v>
      </c>
      <c r="I22" s="47" t="n"/>
      <c r="J22" s="48" t="n"/>
      <c r="K22" s="49" t="n">
        <v>2.5</v>
      </c>
      <c r="L22" s="46" t="inlineStr">
        <is>
          <t>0.4</t>
        </is>
      </c>
      <c r="M22" s="46" t="inlineStr">
        <is>
          <t>Não</t>
        </is>
      </c>
      <c r="N22" s="46" t="inlineStr">
        <is>
          <t>Não</t>
        </is>
      </c>
      <c r="O22" s="50" t="n"/>
      <c r="P22" s="51" t="n"/>
      <c r="Q22" s="39">
        <f>IF(F22=0,"",(F22+H22+J22)/1000*'⚙️ Parâmetros'!B6+K22*'⚙️ Parâmetros'!B7*'⚙️ Parâmetros'!B8+K22*'⚙️ Parâmetros'!B9+'⚙️ Parâmetros'!B10+IF(M22="Sim",'⚙️ Parâmetros'!B11,0)+IF(N22="Sim",'⚙️ Parâmetros'!B12,0)+IF(P22="",0,P22))</f>
        <v/>
      </c>
      <c r="R22" s="40">
        <f>IF(Q22="","",Q22*'⚙️ Parâmetros'!B13)</f>
        <v/>
      </c>
      <c r="S22" s="41">
        <f>IF(Q22="","",Q22*'⚙️ Parâmetros'!B14)</f>
        <v/>
      </c>
      <c r="T22" s="91" t="n"/>
      <c r="U22" s="52" t="n"/>
      <c r="V22" s="0">
        <f>IF(B22="","",IFERROR(VLOOKUP(C22,'⚙️ Parâmetros'!$A$20:$B$29,2,0)&amp;"-2026-"&amp;TEXT(COUNTIF($B$7:B22,B22),"000"),""))</f>
        <v/>
      </c>
    </row>
    <row r="23" ht="54.75" customHeight="1" s="109">
      <c r="A23" s="31">
        <f>IF(T23="","",IMAGE(T23,4,50,50))</f>
        <v/>
      </c>
      <c r="B23" s="8" t="inlineStr">
        <is>
          <t>Nossa Senhora</t>
        </is>
      </c>
      <c r="C23" s="8" t="inlineStr">
        <is>
          <t>Miniatura</t>
        </is>
      </c>
      <c r="D23" s="8" t="inlineStr">
        <is>
          <t>Branco e Azul</t>
        </is>
      </c>
      <c r="E23" s="34" t="inlineStr">
        <is>
          <t>Branco</t>
        </is>
      </c>
      <c r="F23" s="35" t="n">
        <v>20</v>
      </c>
      <c r="G23" s="34" t="inlineStr">
        <is>
          <t>Azul</t>
        </is>
      </c>
      <c r="H23" s="35" t="n">
        <v>5</v>
      </c>
      <c r="I23" s="34" t="n"/>
      <c r="J23" s="35" t="n"/>
      <c r="K23" s="36" t="n">
        <v>3</v>
      </c>
      <c r="L23" s="33" t="inlineStr">
        <is>
          <t>0.4</t>
        </is>
      </c>
      <c r="M23" s="33" t="inlineStr">
        <is>
          <t>Não</t>
        </is>
      </c>
      <c r="N23" s="33" t="inlineStr">
        <is>
          <t>Não</t>
        </is>
      </c>
      <c r="O23" s="37" t="n"/>
      <c r="P23" s="38" t="n"/>
      <c r="Q23" s="39">
        <f>IF(F23=0,"",(F23+H23+J23)/1000*'⚙️ Parâmetros'!B6+K23*'⚙️ Parâmetros'!B7*'⚙️ Parâmetros'!B8+K23*'⚙️ Parâmetros'!B9+'⚙️ Parâmetros'!B10+IF(M23="Sim",'⚙️ Parâmetros'!B11,0)+IF(N23="Sim",'⚙️ Parâmetros'!B12,0)+IF(P23="",0,P23))</f>
        <v/>
      </c>
      <c r="R23" s="40">
        <f>IF(Q23="","",Q23*'⚙️ Parâmetros'!B13)</f>
        <v/>
      </c>
      <c r="S23" s="41">
        <f>IF(Q23="","",Q23*'⚙️ Parâmetros'!B14)</f>
        <v/>
      </c>
      <c r="T23" s="91" t="n"/>
      <c r="U23" s="43" t="inlineStr">
        <is>
          <t>Imagem religiosa</t>
        </is>
      </c>
      <c r="V23" s="0">
        <f>IF(B23="","",IFERROR(VLOOKUP(C23,'⚙️ Parâmetros'!$A$20:$B$29,2,0)&amp;"-2026-"&amp;TEXT(COUNTIF($B$7:B23,B23),"000"),""))</f>
        <v/>
      </c>
    </row>
    <row r="24" ht="54.75" customHeight="1" s="109">
      <c r="A24" s="44">
        <f>IF(T24="","",IMAGE(T24,4,50,50))</f>
        <v/>
      </c>
      <c r="B24" s="12" t="inlineStr">
        <is>
          <t>Gato Preto</t>
        </is>
      </c>
      <c r="C24" s="12" t="inlineStr">
        <is>
          <t>Miniatura</t>
        </is>
      </c>
      <c r="D24" s="12" t="inlineStr">
        <is>
          <t>Preto</t>
        </is>
      </c>
      <c r="E24" s="47" t="inlineStr">
        <is>
          <t>Preto</t>
        </is>
      </c>
      <c r="F24" s="48" t="n">
        <v>15</v>
      </c>
      <c r="G24" s="47" t="n"/>
      <c r="H24" s="48" t="n"/>
      <c r="I24" s="47" t="n"/>
      <c r="J24" s="48" t="n"/>
      <c r="K24" s="49" t="n">
        <v>2</v>
      </c>
      <c r="L24" s="46" t="inlineStr">
        <is>
          <t>0.4</t>
        </is>
      </c>
      <c r="M24" s="46" t="inlineStr">
        <is>
          <t>Não</t>
        </is>
      </c>
      <c r="N24" s="46" t="inlineStr">
        <is>
          <t>Não</t>
        </is>
      </c>
      <c r="O24" s="50" t="n"/>
      <c r="P24" s="51" t="n"/>
      <c r="Q24" s="39">
        <f>IF(F24=0,"",(F24+H24+J24)/1000*'⚙️ Parâmetros'!B6+K24*'⚙️ Parâmetros'!B7*'⚙️ Parâmetros'!B8+K24*'⚙️ Parâmetros'!B9+'⚙️ Parâmetros'!B10+IF(M24="Sim",'⚙️ Parâmetros'!B11,0)+IF(N24="Sim",'⚙️ Parâmetros'!B12,0)+IF(P24="",0,P24))</f>
        <v/>
      </c>
      <c r="R24" s="40">
        <f>IF(Q24="","",Q24*'⚙️ Parâmetros'!B13)</f>
        <v/>
      </c>
      <c r="S24" s="41">
        <f>IF(Q24="","",Q24*'⚙️ Parâmetros'!B14)</f>
        <v/>
      </c>
      <c r="T24" s="91" t="n"/>
      <c r="U24" s="52" t="n"/>
      <c r="V24" s="0">
        <f>IF(B24="","",IFERROR(VLOOKUP(C24,'⚙️ Parâmetros'!$A$20:$B$29,2,0)&amp;"-2026-"&amp;TEXT(COUNTIF($B$7:B24,B24),"000"),""))</f>
        <v/>
      </c>
    </row>
    <row r="25" ht="54.75" customHeight="1" s="109">
      <c r="A25" s="31">
        <f>IF(T25="","",IMAGE(T25,4,50,50))</f>
        <v/>
      </c>
      <c r="B25" s="8" t="inlineStr">
        <is>
          <t>Stormtrooper</t>
        </is>
      </c>
      <c r="C25" s="8" t="inlineStr">
        <is>
          <t>Miniatura</t>
        </is>
      </c>
      <c r="D25" s="8" t="inlineStr">
        <is>
          <t>Branco</t>
        </is>
      </c>
      <c r="E25" s="34" t="inlineStr">
        <is>
          <t>Branco</t>
        </is>
      </c>
      <c r="F25" s="35" t="n">
        <v>22</v>
      </c>
      <c r="G25" s="34" t="n"/>
      <c r="H25" s="35" t="n"/>
      <c r="I25" s="34" t="n"/>
      <c r="J25" s="35" t="n"/>
      <c r="K25" s="36" t="n">
        <v>2.5</v>
      </c>
      <c r="L25" s="33" t="inlineStr">
        <is>
          <t>0.4</t>
        </is>
      </c>
      <c r="M25" s="33" t="inlineStr">
        <is>
          <t>Não</t>
        </is>
      </c>
      <c r="N25" s="33" t="inlineStr">
        <is>
          <t>Não</t>
        </is>
      </c>
      <c r="O25" s="37" t="n"/>
      <c r="P25" s="38" t="n"/>
      <c r="Q25" s="39">
        <f>IF(F25=0,"",(F25+H25+J25)/1000*'⚙️ Parâmetros'!B6+K25*'⚙️ Parâmetros'!B7*'⚙️ Parâmetros'!B8+K25*'⚙️ Parâmetros'!B9+'⚙️ Parâmetros'!B10+IF(M25="Sim",'⚙️ Parâmetros'!B11,0)+IF(N25="Sim",'⚙️ Parâmetros'!B12,0)+IF(P25="",0,P25))</f>
        <v/>
      </c>
      <c r="R25" s="40">
        <f>IF(Q25="","",Q25*'⚙️ Parâmetros'!B13)</f>
        <v/>
      </c>
      <c r="S25" s="41">
        <f>IF(Q25="","",Q25*'⚙️ Parâmetros'!B14)</f>
        <v/>
      </c>
      <c r="T25" s="91" t="n"/>
      <c r="U25" s="43" t="inlineStr">
        <is>
          <t>Star Wars</t>
        </is>
      </c>
      <c r="V25" s="0">
        <f>IF(B25="","",IFERROR(VLOOKUP(C25,'⚙️ Parâmetros'!$A$20:$B$29,2,0)&amp;"-2026-"&amp;TEXT(COUNTIF($B$7:B25,B25),"000"),""))</f>
        <v/>
      </c>
    </row>
    <row r="26" ht="54.75" customHeight="1" s="109">
      <c r="A26" s="44">
        <f>IF(T26="","",IMAGE(T26,4,50,50))</f>
        <v/>
      </c>
      <c r="B26" s="12" t="inlineStr">
        <is>
          <t>Copo Stanley</t>
        </is>
      </c>
      <c r="C26" s="12" t="inlineStr">
        <is>
          <t>Enfeite/Decoração</t>
        </is>
      </c>
      <c r="D26" s="12" t="inlineStr">
        <is>
          <t>Variado</t>
        </is>
      </c>
      <c r="E26" s="47" t="inlineStr">
        <is>
          <t>Preto</t>
        </is>
      </c>
      <c r="F26" s="48" t="n">
        <v>12</v>
      </c>
      <c r="G26" s="47" t="n"/>
      <c r="H26" s="48" t="n"/>
      <c r="I26" s="47" t="n"/>
      <c r="J26" s="48" t="n"/>
      <c r="K26" s="49" t="n">
        <v>1.5</v>
      </c>
      <c r="L26" s="46" t="inlineStr">
        <is>
          <t>0.4</t>
        </is>
      </c>
      <c r="M26" s="46" t="inlineStr">
        <is>
          <t>Não</t>
        </is>
      </c>
      <c r="N26" s="46" t="inlineStr">
        <is>
          <t>Não</t>
        </is>
      </c>
      <c r="O26" s="50" t="n"/>
      <c r="P26" s="51" t="n"/>
      <c r="Q26" s="39">
        <f>IF(F26=0,"",(F26+H26+J26)/1000*'⚙️ Parâmetros'!B6+K26*'⚙️ Parâmetros'!B7*'⚙️ Parâmetros'!B8+K26*'⚙️ Parâmetros'!B9+'⚙️ Parâmetros'!B10+IF(M26="Sim",'⚙️ Parâmetros'!B11,0)+IF(N26="Sim",'⚙️ Parâmetros'!B12,0)+IF(P26="",0,P26))</f>
        <v/>
      </c>
      <c r="R26" s="40">
        <f>IF(Q26="","",Q26*'⚙️ Parâmetros'!B13)</f>
        <v/>
      </c>
      <c r="S26" s="41">
        <f>IF(Q26="","",Q26*'⚙️ Parâmetros'!B14)</f>
        <v/>
      </c>
      <c r="T26" s="91" t="n"/>
      <c r="U26" s="52" t="inlineStr">
        <is>
          <t>Base/suporte copo Stanley</t>
        </is>
      </c>
      <c r="V26" s="0">
        <f>IF(B26="","",IFERROR(VLOOKUP(C26,'⚙️ Parâmetros'!$A$20:$B$29,2,0)&amp;"-2026-"&amp;TEXT(COUNTIF($B$7:B26,B26),"000"),""))</f>
        <v/>
      </c>
    </row>
    <row r="27" ht="54.75" customHeight="1" s="109">
      <c r="A27" s="31">
        <f>IF(T27="","",IMAGE(T27,4,50,50))</f>
        <v/>
      </c>
      <c r="B27" s="8" t="inlineStr">
        <is>
          <t>Homem de Ferro</t>
        </is>
      </c>
      <c r="C27" s="8" t="inlineStr">
        <is>
          <t>Miniatura</t>
        </is>
      </c>
      <c r="D27" s="8" t="inlineStr">
        <is>
          <t>Vermelho e Dourado</t>
        </is>
      </c>
      <c r="E27" s="34" t="inlineStr">
        <is>
          <t>Vermelho</t>
        </is>
      </c>
      <c r="F27" s="35" t="n">
        <v>18</v>
      </c>
      <c r="G27" s="34" t="inlineStr">
        <is>
          <t>Amarelo</t>
        </is>
      </c>
      <c r="H27" s="35" t="n">
        <v>7</v>
      </c>
      <c r="I27" s="34" t="n"/>
      <c r="J27" s="35" t="n"/>
      <c r="K27" s="36" t="n">
        <v>2.5</v>
      </c>
      <c r="L27" s="33" t="inlineStr">
        <is>
          <t>0.4</t>
        </is>
      </c>
      <c r="M27" s="33" t="inlineStr">
        <is>
          <t>Não</t>
        </is>
      </c>
      <c r="N27" s="33" t="inlineStr">
        <is>
          <t>Não</t>
        </is>
      </c>
      <c r="O27" s="37" t="n"/>
      <c r="P27" s="38" t="n"/>
      <c r="Q27" s="39">
        <f>IF(F27=0,"",(F27+H27+J27)/1000*'⚙️ Parâmetros'!B6+K27*'⚙️ Parâmetros'!B7*'⚙️ Parâmetros'!B8+K27*'⚙️ Parâmetros'!B9+'⚙️ Parâmetros'!B10+IF(M27="Sim",'⚙️ Parâmetros'!B11,0)+IF(N27="Sim",'⚙️ Parâmetros'!B12,0)+IF(P27="",0,P27))</f>
        <v/>
      </c>
      <c r="R27" s="40">
        <f>IF(Q27="","",Q27*'⚙️ Parâmetros'!B13)</f>
        <v/>
      </c>
      <c r="S27" s="41">
        <f>IF(Q27="","",Q27*'⚙️ Parâmetros'!B14)</f>
        <v/>
      </c>
      <c r="T27" s="91" t="n"/>
      <c r="U27" s="43" t="inlineStr">
        <is>
          <t>Marvel</t>
        </is>
      </c>
      <c r="V27" s="0">
        <f>IF(B27="","",IFERROR(VLOOKUP(C27,'⚙️ Parâmetros'!$A$20:$B$29,2,0)&amp;"-2026-"&amp;TEXT(COUNTIF($B$7:B27,B27),"000"),""))</f>
        <v/>
      </c>
    </row>
    <row r="28" ht="54.75" customHeight="1" s="109">
      <c r="A28" s="44">
        <f>IF(T28="","",IMAGE(T28,4,50,50))</f>
        <v/>
      </c>
      <c r="B28" s="12" t="inlineStr">
        <is>
          <t>Homem Aranha</t>
        </is>
      </c>
      <c r="C28" s="12" t="inlineStr">
        <is>
          <t>Miniatura</t>
        </is>
      </c>
      <c r="D28" s="12" t="inlineStr">
        <is>
          <t>Vermelho e Azul</t>
        </is>
      </c>
      <c r="E28" s="47" t="inlineStr">
        <is>
          <t>Vermelho</t>
        </is>
      </c>
      <c r="F28" s="48" t="n">
        <v>12</v>
      </c>
      <c r="G28" s="47" t="inlineStr">
        <is>
          <t>Azul</t>
        </is>
      </c>
      <c r="H28" s="48" t="n">
        <v>10</v>
      </c>
      <c r="I28" s="47" t="n"/>
      <c r="J28" s="48" t="n"/>
      <c r="K28" s="49" t="n">
        <v>2</v>
      </c>
      <c r="L28" s="46" t="inlineStr">
        <is>
          <t>0.4</t>
        </is>
      </c>
      <c r="M28" s="46" t="inlineStr">
        <is>
          <t>Não</t>
        </is>
      </c>
      <c r="N28" s="46" t="inlineStr">
        <is>
          <t>Não</t>
        </is>
      </c>
      <c r="O28" s="50" t="n"/>
      <c r="P28" s="51" t="n"/>
      <c r="Q28" s="39">
        <f>IF(F28=0,"",(F28+H28+J28)/1000*'⚙️ Parâmetros'!B6+K28*'⚙️ Parâmetros'!B7*'⚙️ Parâmetros'!B8+K28*'⚙️ Parâmetros'!B9+'⚙️ Parâmetros'!B10+IF(M28="Sim",'⚙️ Parâmetros'!B11,0)+IF(N28="Sim",'⚙️ Parâmetros'!B12,0)+IF(P28="",0,P28))</f>
        <v/>
      </c>
      <c r="R28" s="40">
        <f>IF(Q28="","",Q28*'⚙️ Parâmetros'!B13)</f>
        <v/>
      </c>
      <c r="S28" s="41">
        <f>IF(Q28="","",Q28*'⚙️ Parâmetros'!B14)</f>
        <v/>
      </c>
      <c r="T28" s="91" t="n"/>
      <c r="U28" s="52" t="inlineStr">
        <is>
          <t>Marvel</t>
        </is>
      </c>
      <c r="V28" s="0">
        <f>IF(B28="","",IFERROR(VLOOKUP(C28,'⚙️ Parâmetros'!$A$20:$B$29,2,0)&amp;"-2026-"&amp;TEXT(COUNTIF($B$7:B28,B28),"000"),""))</f>
        <v/>
      </c>
    </row>
    <row r="29" ht="54.75" customHeight="1" s="109">
      <c r="A29" s="31">
        <f>IF(T29="","",IMAGE(T29,4,50,50))</f>
        <v/>
      </c>
      <c r="B29" s="8" t="inlineStr">
        <is>
          <t>Baby Groot</t>
        </is>
      </c>
      <c r="C29" s="8" t="inlineStr">
        <is>
          <t>Miniatura</t>
        </is>
      </c>
      <c r="D29" s="8" t="inlineStr">
        <is>
          <t>Verde e Marrom</t>
        </is>
      </c>
      <c r="E29" s="34" t="inlineStr">
        <is>
          <t>Verde</t>
        </is>
      </c>
      <c r="F29" s="35" t="n">
        <v>15</v>
      </c>
      <c r="G29" s="34" t="inlineStr">
        <is>
          <t>Marrom</t>
        </is>
      </c>
      <c r="H29" s="35" t="n">
        <v>5</v>
      </c>
      <c r="I29" s="34" t="n"/>
      <c r="J29" s="35" t="n"/>
      <c r="K29" s="36" t="n">
        <v>2</v>
      </c>
      <c r="L29" s="33" t="inlineStr">
        <is>
          <t>0.4</t>
        </is>
      </c>
      <c r="M29" s="33" t="inlineStr">
        <is>
          <t>Não</t>
        </is>
      </c>
      <c r="N29" s="33" t="inlineStr">
        <is>
          <t>Não</t>
        </is>
      </c>
      <c r="O29" s="37" t="n"/>
      <c r="P29" s="38" t="n"/>
      <c r="Q29" s="39">
        <f>IF(F29=0,"",(F29+H29+J29)/1000*'⚙️ Parâmetros'!B6+K29*'⚙️ Parâmetros'!B7*'⚙️ Parâmetros'!B8+K29*'⚙️ Parâmetros'!B9+'⚙️ Parâmetros'!B10+IF(M29="Sim",'⚙️ Parâmetros'!B11,0)+IF(N29="Sim",'⚙️ Parâmetros'!B12,0)+IF(P29="",0,P29))</f>
        <v/>
      </c>
      <c r="R29" s="40">
        <f>IF(Q29="","",Q29*'⚙️ Parâmetros'!B13)</f>
        <v/>
      </c>
      <c r="S29" s="41">
        <f>IF(Q29="","",Q29*'⚙️ Parâmetros'!B14)</f>
        <v/>
      </c>
      <c r="T29" s="91" t="n"/>
      <c r="U29" s="43" t="inlineStr">
        <is>
          <t>Marvel</t>
        </is>
      </c>
      <c r="V29" s="0">
        <f>IF(B29="","",IFERROR(VLOOKUP(C29,'⚙️ Parâmetros'!$A$20:$B$29,2,0)&amp;"-2026-"&amp;TEXT(COUNTIF($B$7:B29,B29),"000"),""))</f>
        <v/>
      </c>
    </row>
    <row r="30" ht="54.75" customHeight="1" s="109">
      <c r="A30" s="44">
        <f>IF(T30="","",IMAGE(T30,4,50,50))</f>
        <v/>
      </c>
      <c r="B30" s="12" t="inlineStr">
        <is>
          <t>Alien</t>
        </is>
      </c>
      <c r="C30" s="12" t="inlineStr">
        <is>
          <t>Miniatura</t>
        </is>
      </c>
      <c r="D30" s="12" t="inlineStr">
        <is>
          <t>Preto</t>
        </is>
      </c>
      <c r="E30" s="47" t="inlineStr">
        <is>
          <t>Preto</t>
        </is>
      </c>
      <c r="F30" s="48" t="n">
        <v>16</v>
      </c>
      <c r="G30" s="47" t="n"/>
      <c r="H30" s="48" t="n"/>
      <c r="I30" s="47" t="n"/>
      <c r="J30" s="48" t="n"/>
      <c r="K30" s="49" t="n">
        <v>1.5</v>
      </c>
      <c r="L30" s="46" t="inlineStr">
        <is>
          <t>0.4</t>
        </is>
      </c>
      <c r="M30" s="46" t="inlineStr">
        <is>
          <t>Não</t>
        </is>
      </c>
      <c r="N30" s="46" t="inlineStr">
        <is>
          <t>Não</t>
        </is>
      </c>
      <c r="O30" s="50" t="n"/>
      <c r="P30" s="51" t="n"/>
      <c r="Q30" s="39">
        <f>IF(F30=0,"",(F30+H30+J30)/1000*'⚙️ Parâmetros'!B6+K30*'⚙️ Parâmetros'!B7*'⚙️ Parâmetros'!B8+K30*'⚙️ Parâmetros'!B9+'⚙️ Parâmetros'!B10+IF(M30="Sim",'⚙️ Parâmetros'!B11,0)+IF(N30="Sim",'⚙️ Parâmetros'!B12,0)+IF(P30="",0,P30))</f>
        <v/>
      </c>
      <c r="R30" s="40">
        <f>IF(Q30="","",Q30*'⚙️ Parâmetros'!B13)</f>
        <v/>
      </c>
      <c r="S30" s="41">
        <f>IF(Q30="","",Q30*'⚙️ Parâmetros'!B14)</f>
        <v/>
      </c>
      <c r="T30" s="91" t="n"/>
      <c r="U30" s="52" t="n"/>
      <c r="V30" s="0">
        <f>IF(B30="","",IFERROR(VLOOKUP(C30,'⚙️ Parâmetros'!$A$20:$B$29,2,0)&amp;"-2026-"&amp;TEXT(COUNTIF($B$7:B30,B30),"000"),""))</f>
        <v/>
      </c>
    </row>
    <row r="31" ht="54.75" customHeight="1" s="109">
      <c r="A31" s="31">
        <f>IF(T31="","",IMAGE(T31,4,50,50))</f>
        <v/>
      </c>
      <c r="B31" s="8" t="inlineStr">
        <is>
          <t>Harry Potter</t>
        </is>
      </c>
      <c r="C31" s="8" t="inlineStr">
        <is>
          <t>Miniatura</t>
        </is>
      </c>
      <c r="D31" s="8" t="inlineStr">
        <is>
          <t>Variado</t>
        </is>
      </c>
      <c r="E31" s="34" t="inlineStr">
        <is>
          <t>Preto</t>
        </is>
      </c>
      <c r="F31" s="35" t="n">
        <v>10</v>
      </c>
      <c r="G31" s="34" t="inlineStr">
        <is>
          <t>Vermelho</t>
        </is>
      </c>
      <c r="H31" s="35" t="n">
        <v>8</v>
      </c>
      <c r="I31" s="34" t="inlineStr">
        <is>
          <t>Amarelo</t>
        </is>
      </c>
      <c r="J31" s="35" t="n">
        <v>6</v>
      </c>
      <c r="K31" s="36" t="n">
        <v>2.5</v>
      </c>
      <c r="L31" s="33" t="inlineStr">
        <is>
          <t>0.4</t>
        </is>
      </c>
      <c r="M31" s="33" t="inlineStr">
        <is>
          <t>Não</t>
        </is>
      </c>
      <c r="N31" s="33" t="inlineStr">
        <is>
          <t>Não</t>
        </is>
      </c>
      <c r="O31" s="37" t="n"/>
      <c r="P31" s="38" t="n"/>
      <c r="Q31" s="39">
        <f>IF(F31=0,"",(F31+H31+J31)/1000*'⚙️ Parâmetros'!B6+K31*'⚙️ Parâmetros'!B7*'⚙️ Parâmetros'!B8+K31*'⚙️ Parâmetros'!B9+'⚙️ Parâmetros'!B10+IF(M31="Sim",'⚙️ Parâmetros'!B11,0)+IF(N31="Sim",'⚙️ Parâmetros'!B12,0)+IF(P31="",0,P31))</f>
        <v/>
      </c>
      <c r="R31" s="40">
        <f>IF(Q31="","",Q31*'⚙️ Parâmetros'!B13)</f>
        <v/>
      </c>
      <c r="S31" s="41">
        <f>IF(Q31="","",Q31*'⚙️ Parâmetros'!B14)</f>
        <v/>
      </c>
      <c r="T31" s="91" t="n"/>
      <c r="U31" s="43" t="n"/>
      <c r="V31" s="0">
        <f>IF(B31="","",IFERROR(VLOOKUP(C31,'⚙️ Parâmetros'!$A$20:$B$29,2,0)&amp;"-2026-"&amp;TEXT(COUNTIF($B$7:B31,B31),"000"),""))</f>
        <v/>
      </c>
    </row>
    <row r="32" ht="54.75" customHeight="1" s="109">
      <c r="A32" s="44">
        <f>IF(T32="","",IMAGE(T32,4,50,50))</f>
        <v/>
      </c>
      <c r="B32" s="12" t="inlineStr">
        <is>
          <t>Cone</t>
        </is>
      </c>
      <c r="C32" s="12" t="inlineStr">
        <is>
          <t>Enfeite/Decoração</t>
        </is>
      </c>
      <c r="D32" s="12" t="inlineStr">
        <is>
          <t>Laranja e Amarelo</t>
        </is>
      </c>
      <c r="E32" s="47" t="inlineStr">
        <is>
          <t>Laranja</t>
        </is>
      </c>
      <c r="F32" s="48" t="n">
        <v>12</v>
      </c>
      <c r="G32" s="47" t="inlineStr">
        <is>
          <t>Amarelo</t>
        </is>
      </c>
      <c r="H32" s="48" t="n">
        <v>8</v>
      </c>
      <c r="I32" s="47" t="n"/>
      <c r="J32" s="48" t="n"/>
      <c r="K32" s="49" t="n">
        <v>2</v>
      </c>
      <c r="L32" s="46" t="inlineStr">
        <is>
          <t>0.4</t>
        </is>
      </c>
      <c r="M32" s="46" t="inlineStr">
        <is>
          <t>Não</t>
        </is>
      </c>
      <c r="N32" s="46" t="inlineStr">
        <is>
          <t>Não</t>
        </is>
      </c>
      <c r="O32" s="50" t="n"/>
      <c r="P32" s="51" t="n"/>
      <c r="Q32" s="39">
        <f>IF(F32=0,"",(F32+H32+J32)/1000*'⚙️ Parâmetros'!B6+K32*'⚙️ Parâmetros'!B7*'⚙️ Parâmetros'!B8+K32*'⚙️ Parâmetros'!B9+'⚙️ Parâmetros'!B10+IF(M32="Sim",'⚙️ Parâmetros'!B11,0)+IF(N32="Sim",'⚙️ Parâmetros'!B12,0)+IF(P32="",0,P32))</f>
        <v/>
      </c>
      <c r="R32" s="40">
        <f>IF(Q32="","",Q32*'⚙️ Parâmetros'!B13)</f>
        <v/>
      </c>
      <c r="S32" s="41">
        <f>IF(Q32="","",Q32*'⚙️ Parâmetros'!B14)</f>
        <v/>
      </c>
      <c r="T32" s="91" t="n"/>
      <c r="U32" s="52" t="inlineStr">
        <is>
          <t>Peça sensorial cone</t>
        </is>
      </c>
      <c r="V32" s="0">
        <f>IF(B32="","",IFERROR(VLOOKUP(C32,'⚙️ Parâmetros'!$A$20:$B$29,2,0)&amp;"-2026-"&amp;TEXT(COUNTIF($B$7:B32,B32),"000"),""))</f>
        <v/>
      </c>
    </row>
    <row r="33" ht="54.75" customHeight="1" s="109">
      <c r="A33" s="31">
        <f>IF(T33="","",IMAGE(T33,4,50,50))</f>
        <v/>
      </c>
      <c r="B33" s="8" t="inlineStr">
        <is>
          <t>Pokebola</t>
        </is>
      </c>
      <c r="C33" s="8" t="inlineStr">
        <is>
          <t>Miniatura</t>
        </is>
      </c>
      <c r="D33" s="8" t="inlineStr">
        <is>
          <t>Vermelho e Branco</t>
        </is>
      </c>
      <c r="E33" s="34" t="inlineStr">
        <is>
          <t>Vermelho</t>
        </is>
      </c>
      <c r="F33" s="35" t="n">
        <v>8</v>
      </c>
      <c r="G33" s="34" t="inlineStr">
        <is>
          <t>Branco</t>
        </is>
      </c>
      <c r="H33" s="35" t="n">
        <v>4</v>
      </c>
      <c r="I33" s="34" t="n"/>
      <c r="J33" s="35" t="n"/>
      <c r="K33" s="36" t="n">
        <v>1</v>
      </c>
      <c r="L33" s="33" t="inlineStr">
        <is>
          <t>0.4</t>
        </is>
      </c>
      <c r="M33" s="33" t="inlineStr">
        <is>
          <t>Não</t>
        </is>
      </c>
      <c r="N33" s="33" t="inlineStr">
        <is>
          <t>Não</t>
        </is>
      </c>
      <c r="O33" s="37" t="n"/>
      <c r="P33" s="38" t="n"/>
      <c r="Q33" s="39">
        <f>IF(F33=0,"",(F33+H33+J33)/1000*'⚙️ Parâmetros'!B6+K33*'⚙️ Parâmetros'!B7*'⚙️ Parâmetros'!B8+K33*'⚙️ Parâmetros'!B9+'⚙️ Parâmetros'!B10+IF(M33="Sim",'⚙️ Parâmetros'!B11,0)+IF(N33="Sim",'⚙️ Parâmetros'!B12,0)+IF(P33="",0,P33))</f>
        <v/>
      </c>
      <c r="R33" s="40">
        <f>IF(Q33="","",Q33*'⚙️ Parâmetros'!B13)</f>
        <v/>
      </c>
      <c r="S33" s="41">
        <f>IF(Q33="","",Q33*'⚙️ Parâmetros'!B14)</f>
        <v/>
      </c>
      <c r="T33" s="91" t="n"/>
      <c r="U33" s="43" t="inlineStr">
        <is>
          <t>Pokémon</t>
        </is>
      </c>
      <c r="V33" s="0">
        <f>IF(B33="","",IFERROR(VLOOKUP(C33,'⚙️ Parâmetros'!$A$20:$B$29,2,0)&amp;"-2026-"&amp;TEXT(COUNTIF($B$7:B33,B33),"000"),""))</f>
        <v/>
      </c>
    </row>
    <row r="34" ht="54.75" customHeight="1" s="109">
      <c r="A34" s="44">
        <f>IF(T34="","",IMAGE(T34,4,50,50))</f>
        <v/>
      </c>
      <c r="B34" s="12" t="inlineStr">
        <is>
          <t>Fantasma Vermelho</t>
        </is>
      </c>
      <c r="C34" s="12" t="inlineStr">
        <is>
          <t>Miniatura</t>
        </is>
      </c>
      <c r="D34" s="12" t="inlineStr">
        <is>
          <t>Vermelho</t>
        </is>
      </c>
      <c r="E34" s="47" t="inlineStr">
        <is>
          <t>Vermelho</t>
        </is>
      </c>
      <c r="F34" s="48" t="n">
        <v>10</v>
      </c>
      <c r="G34" s="47" t="n"/>
      <c r="H34" s="48" t="n"/>
      <c r="I34" s="47" t="n"/>
      <c r="J34" s="48" t="n"/>
      <c r="K34" s="49" t="n">
        <v>1</v>
      </c>
      <c r="L34" s="46" t="inlineStr">
        <is>
          <t>0.4</t>
        </is>
      </c>
      <c r="M34" s="46" t="inlineStr">
        <is>
          <t>Não</t>
        </is>
      </c>
      <c r="N34" s="46" t="inlineStr">
        <is>
          <t>Não</t>
        </is>
      </c>
      <c r="O34" s="50" t="n"/>
      <c r="P34" s="51" t="n"/>
      <c r="Q34" s="39">
        <f>IF(F34=0,"",(F34+H34+J34)/1000*'⚙️ Parâmetros'!B6+K34*'⚙️ Parâmetros'!B7*'⚙️ Parâmetros'!B8+K34*'⚙️ Parâmetros'!B9+'⚙️ Parâmetros'!B10+IF(M34="Sim",'⚙️ Parâmetros'!B11,0)+IF(N34="Sim",'⚙️ Parâmetros'!B12,0)+IF(P34="",0,P34))</f>
        <v/>
      </c>
      <c r="R34" s="40">
        <f>IF(Q34="","",Q34*'⚙️ Parâmetros'!B13)</f>
        <v/>
      </c>
      <c r="S34" s="41">
        <f>IF(Q34="","",Q34*'⚙️ Parâmetros'!B14)</f>
        <v/>
      </c>
      <c r="T34" s="91" t="n"/>
      <c r="U34" s="52" t="inlineStr">
        <is>
          <t>Pac-Man</t>
        </is>
      </c>
      <c r="V34" s="0">
        <f>IF(B34="","",IFERROR(VLOOKUP(C34,'⚙️ Parâmetros'!$A$20:$B$29,2,0)&amp;"-2026-"&amp;TEXT(COUNTIF($B$7:B34,B34),"000"),""))</f>
        <v/>
      </c>
    </row>
    <row r="35" ht="54.75" customHeight="1" s="109">
      <c r="A35" s="31">
        <f>IF(T35="","",IMAGE(T35,4,50,50))</f>
        <v/>
      </c>
      <c r="B35" s="8" t="inlineStr">
        <is>
          <t>Dado RPG</t>
        </is>
      </c>
      <c r="C35" s="8" t="inlineStr">
        <is>
          <t>Enfeite/Decoração</t>
        </is>
      </c>
      <c r="D35" s="8" t="inlineStr">
        <is>
          <t>Variado</t>
        </is>
      </c>
      <c r="E35" s="34" t="inlineStr">
        <is>
          <t>Branco</t>
        </is>
      </c>
      <c r="F35" s="35" t="n">
        <v>8</v>
      </c>
      <c r="G35" s="34" t="inlineStr">
        <is>
          <t>Preto</t>
        </is>
      </c>
      <c r="H35" s="35" t="n">
        <v>2</v>
      </c>
      <c r="I35" s="34" t="n"/>
      <c r="J35" s="35" t="n"/>
      <c r="K35" s="36" t="n">
        <v>1</v>
      </c>
      <c r="L35" s="33" t="inlineStr">
        <is>
          <t>0.4</t>
        </is>
      </c>
      <c r="M35" s="33" t="inlineStr">
        <is>
          <t>Não</t>
        </is>
      </c>
      <c r="N35" s="33" t="inlineStr">
        <is>
          <t>Não</t>
        </is>
      </c>
      <c r="O35" s="37" t="n"/>
      <c r="P35" s="38" t="n"/>
      <c r="Q35" s="39">
        <f>IF(F35=0,"",(F35+H35+J35)/1000*'⚙️ Parâmetros'!B6+K35*'⚙️ Parâmetros'!B7*'⚙️ Parâmetros'!B8+K35*'⚙️ Parâmetros'!B9+'⚙️ Parâmetros'!B10+IF(M35="Sim",'⚙️ Parâmetros'!B11,0)+IF(N35="Sim",'⚙️ Parâmetros'!B12,0)+IF(P35="",0,P35))</f>
        <v/>
      </c>
      <c r="R35" s="40">
        <f>IF(Q35="","",Q35*'⚙️ Parâmetros'!B13)</f>
        <v/>
      </c>
      <c r="S35" s="41">
        <f>IF(Q35="","",Q35*'⚙️ Parâmetros'!B14)</f>
        <v/>
      </c>
      <c r="T35" s="91" t="n"/>
      <c r="U35" s="43" t="inlineStr">
        <is>
          <t>Dado 3D RPG</t>
        </is>
      </c>
      <c r="V35" s="0">
        <f>IF(B35="","",IFERROR(VLOOKUP(C35,'⚙️ Parâmetros'!$A$20:$B$29,2,0)&amp;"-2026-"&amp;TEXT(COUNTIF($B$7:B35,B35),"000"),""))</f>
        <v/>
      </c>
    </row>
    <row r="36" ht="54.75" customHeight="1" s="109">
      <c r="A36" s="44">
        <f>IF(T36="","",IMAGE(T36,4,50,50))</f>
        <v/>
      </c>
      <c r="B36" s="12" t="inlineStr">
        <is>
          <t>Mala</t>
        </is>
      </c>
      <c r="C36" s="12" t="inlineStr">
        <is>
          <t>Miniatura</t>
        </is>
      </c>
      <c r="D36" s="12" t="inlineStr">
        <is>
          <t>Marrom</t>
        </is>
      </c>
      <c r="E36" s="47" t="inlineStr">
        <is>
          <t>Marrom</t>
        </is>
      </c>
      <c r="F36" s="48" t="n">
        <v>14</v>
      </c>
      <c r="G36" s="47" t="n"/>
      <c r="H36" s="48" t="n"/>
      <c r="I36" s="47" t="n"/>
      <c r="J36" s="48" t="n"/>
      <c r="K36" s="49" t="n">
        <v>1.5</v>
      </c>
      <c r="L36" s="46" t="inlineStr">
        <is>
          <t>0.4</t>
        </is>
      </c>
      <c r="M36" s="46" t="inlineStr">
        <is>
          <t>Não</t>
        </is>
      </c>
      <c r="N36" s="46" t="inlineStr">
        <is>
          <t>Não</t>
        </is>
      </c>
      <c r="O36" s="50" t="n"/>
      <c r="P36" s="51" t="n"/>
      <c r="Q36" s="39">
        <f>IF(F36=0,"",(F36+H36+J36)/1000*'⚙️ Parâmetros'!B6+K36*'⚙️ Parâmetros'!B7*'⚙️ Parâmetros'!B8+K36*'⚙️ Parâmetros'!B9+'⚙️ Parâmetros'!B10+IF(M36="Sim",'⚙️ Parâmetros'!B11,0)+IF(N36="Sim",'⚙️ Parâmetros'!B12,0)+IF(P36="",0,P36))</f>
        <v/>
      </c>
      <c r="R36" s="40">
        <f>IF(Q36="","",Q36*'⚙️ Parâmetros'!B13)</f>
        <v/>
      </c>
      <c r="S36" s="41">
        <f>IF(Q36="","",Q36*'⚙️ Parâmetros'!B14)</f>
        <v/>
      </c>
      <c r="T36" s="91" t="n"/>
      <c r="U36" s="52" t="n"/>
      <c r="V36" s="0">
        <f>IF(B36="","",IFERROR(VLOOKUP(C36,'⚙️ Parâmetros'!$A$20:$B$29,2,0)&amp;"-2026-"&amp;TEXT(COUNTIF($B$7:B36,B36),"000"),""))</f>
        <v/>
      </c>
    </row>
    <row r="37" ht="54.75" customHeight="1" s="109">
      <c r="A37" s="31">
        <f>IF(T37="","",IMAGE(T37,4,50,50))</f>
        <v/>
      </c>
      <c r="B37" s="8" t="inlineStr">
        <is>
          <t>Jacaré</t>
        </is>
      </c>
      <c r="C37" s="8" t="inlineStr">
        <is>
          <t>Miniatura</t>
        </is>
      </c>
      <c r="D37" s="8" t="inlineStr">
        <is>
          <t>Verde</t>
        </is>
      </c>
      <c r="E37" s="34" t="inlineStr">
        <is>
          <t>Verde</t>
        </is>
      </c>
      <c r="F37" s="35" t="n">
        <v>18</v>
      </c>
      <c r="G37" s="34" t="n"/>
      <c r="H37" s="35" t="n"/>
      <c r="I37" s="34" t="n"/>
      <c r="J37" s="35" t="n"/>
      <c r="K37" s="36" t="n">
        <v>2</v>
      </c>
      <c r="L37" s="33" t="inlineStr">
        <is>
          <t>0.4</t>
        </is>
      </c>
      <c r="M37" s="33" t="inlineStr">
        <is>
          <t>Não</t>
        </is>
      </c>
      <c r="N37" s="33" t="inlineStr">
        <is>
          <t>Não</t>
        </is>
      </c>
      <c r="O37" s="37" t="n"/>
      <c r="P37" s="38" t="n"/>
      <c r="Q37" s="39">
        <f>IF(F37=0,"",(F37+H37+J37)/1000*'⚙️ Parâmetros'!B6+K37*'⚙️ Parâmetros'!B7*'⚙️ Parâmetros'!B8+K37*'⚙️ Parâmetros'!B9+'⚙️ Parâmetros'!B10+IF(M37="Sim",'⚙️ Parâmetros'!B11,0)+IF(N37="Sim",'⚙️ Parâmetros'!B12,0)+IF(P37="",0,P37))</f>
        <v/>
      </c>
      <c r="R37" s="40">
        <f>IF(Q37="","",Q37*'⚙️ Parâmetros'!B13)</f>
        <v/>
      </c>
      <c r="S37" s="41">
        <f>IF(Q37="","",Q37*'⚙️ Parâmetros'!B14)</f>
        <v/>
      </c>
      <c r="T37" s="91" t="n"/>
      <c r="U37" s="43" t="n"/>
      <c r="V37" s="0">
        <f>IF(B37="","",IFERROR(VLOOKUP(C37,'⚙️ Parâmetros'!$A$20:$B$29,2,0)&amp;"-2026-"&amp;TEXT(COUNTIF($B$7:B37,B37),"000"),""))</f>
        <v/>
      </c>
    </row>
    <row r="38" ht="54.75" customHeight="1" s="109">
      <c r="A38" s="44">
        <f>IF(T38="","",IMAGE(T38,4,50,50))</f>
        <v/>
      </c>
      <c r="B38" s="12" t="inlineStr">
        <is>
          <t>Bloco de Interrogação Mario</t>
        </is>
      </c>
      <c r="C38" s="12" t="inlineStr">
        <is>
          <t>Miniatura</t>
        </is>
      </c>
      <c r="D38" s="12" t="inlineStr">
        <is>
          <t>Amarelo</t>
        </is>
      </c>
      <c r="E38" s="47" t="inlineStr">
        <is>
          <t>Amarelo</t>
        </is>
      </c>
      <c r="F38" s="48" t="n">
        <v>15</v>
      </c>
      <c r="G38" s="47" t="n"/>
      <c r="H38" s="48" t="n"/>
      <c r="I38" s="47" t="n"/>
      <c r="J38" s="48" t="n"/>
      <c r="K38" s="49" t="n">
        <v>1.5</v>
      </c>
      <c r="L38" s="46" t="inlineStr">
        <is>
          <t>0.4</t>
        </is>
      </c>
      <c r="M38" s="46" t="inlineStr">
        <is>
          <t>Não</t>
        </is>
      </c>
      <c r="N38" s="46" t="inlineStr">
        <is>
          <t>Não</t>
        </is>
      </c>
      <c r="O38" s="50" t="n"/>
      <c r="P38" s="51" t="n"/>
      <c r="Q38" s="39">
        <f>IF(F38=0,"",(F38+H38+J38)/1000*'⚙️ Parâmetros'!B6+K38*'⚙️ Parâmetros'!B7*'⚙️ Parâmetros'!B8+K38*'⚙️ Parâmetros'!B9+'⚙️ Parâmetros'!B10+IF(M38="Sim",'⚙️ Parâmetros'!B11,0)+IF(N38="Sim",'⚙️ Parâmetros'!B12,0)+IF(P38="",0,P38))</f>
        <v/>
      </c>
      <c r="R38" s="40">
        <f>IF(Q38="","",Q38*'⚙️ Parâmetros'!B13)</f>
        <v/>
      </c>
      <c r="S38" s="41">
        <f>IF(Q38="","",Q38*'⚙️ Parâmetros'!B14)</f>
        <v/>
      </c>
      <c r="T38" s="91" t="n"/>
      <c r="U38" s="52" t="inlineStr">
        <is>
          <t>Super Mario</t>
        </is>
      </c>
      <c r="V38" s="0">
        <f>IF(B38="","",IFERROR(VLOOKUP(C38,'⚙️ Parâmetros'!$A$20:$B$29,2,0)&amp;"-2026-"&amp;TEXT(COUNTIF($B$7:B38,B38),"000"),""))</f>
        <v/>
      </c>
    </row>
    <row r="39" ht="54.75" customHeight="1" s="109">
      <c r="A39" s="31">
        <f>IF(T39="","",IMAGE(T39,4,50,50))</f>
        <v/>
      </c>
      <c r="B39" s="8" t="inlineStr">
        <is>
          <t>Boca Abridor de Garrafa</t>
        </is>
      </c>
      <c r="C39" s="8" t="inlineStr">
        <is>
          <t>Plaquinha</t>
        </is>
      </c>
      <c r="D39" s="8" t="inlineStr">
        <is>
          <t>Variado</t>
        </is>
      </c>
      <c r="E39" s="34" t="inlineStr">
        <is>
          <t>Preto</t>
        </is>
      </c>
      <c r="F39" s="35" t="n">
        <v>30</v>
      </c>
      <c r="G39" s="34" t="inlineStr">
        <is>
          <t>Branco</t>
        </is>
      </c>
      <c r="H39" s="35" t="n">
        <v>5</v>
      </c>
      <c r="I39" s="34" t="n"/>
      <c r="J39" s="35" t="n"/>
      <c r="K39" s="36" t="n">
        <v>3</v>
      </c>
      <c r="L39" s="33" t="inlineStr">
        <is>
          <t>0.4</t>
        </is>
      </c>
      <c r="M39" s="33" t="inlineStr">
        <is>
          <t>Não</t>
        </is>
      </c>
      <c r="N39" s="33" t="inlineStr">
        <is>
          <t>Não</t>
        </is>
      </c>
      <c r="O39" s="37" t="n"/>
      <c r="P39" s="38" t="n"/>
      <c r="Q39" s="39">
        <f>IF(F39=0,"",(F39+H39+J39)/1000*'⚙️ Parâmetros'!B6+K39*'⚙️ Parâmetros'!B7*'⚙️ Parâmetros'!B8+K39*'⚙️ Parâmetros'!B9+'⚙️ Parâmetros'!B10+IF(M39="Sim",'⚙️ Parâmetros'!B11,0)+IF(N39="Sim",'⚙️ Parâmetros'!B12,0)+IF(P39="",0,P39))</f>
        <v/>
      </c>
      <c r="R39" s="40">
        <f>IF(Q39="","",Q39*'⚙️ Parâmetros'!B13)</f>
        <v/>
      </c>
      <c r="S39" s="41">
        <f>IF(Q39="","",Q39*'⚙️ Parâmetros'!B14)</f>
        <v/>
      </c>
      <c r="T39" s="91" t="n"/>
      <c r="U39" s="43" t="inlineStr">
        <is>
          <t>Abridor de garrafa — boca</t>
        </is>
      </c>
      <c r="V39" s="0">
        <f>IF(B39="","",IFERROR(VLOOKUP(C39,'⚙️ Parâmetros'!$A$20:$B$29,2,0)&amp;"-2026-"&amp;TEXT(COUNTIF($B$7:B39,B39),"000"),""))</f>
        <v/>
      </c>
    </row>
    <row r="40" ht="54.75" customHeight="1" s="109">
      <c r="A40" s="44">
        <f>IF(T40="","",IMAGE(T40,4,50,50))</f>
        <v/>
      </c>
      <c r="B40" s="12" t="n"/>
      <c r="C40" s="12" t="n"/>
      <c r="D40" s="12" t="n"/>
      <c r="E40" s="47" t="n"/>
      <c r="F40" s="48" t="n"/>
      <c r="G40" s="47" t="n"/>
      <c r="H40" s="48" t="n"/>
      <c r="I40" s="47" t="n"/>
      <c r="J40" s="48" t="n"/>
      <c r="K40" s="49" t="n"/>
      <c r="L40" s="46" t="n"/>
      <c r="M40" s="46" t="n"/>
      <c r="N40" s="46" t="n"/>
      <c r="O40" s="50" t="n"/>
      <c r="P40" s="51" t="n"/>
      <c r="Q40" s="39">
        <f>IF(F40=0,"",(F40+H40+J40)/1000*'⚙️ Parâmetros'!B6+K40*'⚙️ Parâmetros'!B7*'⚙️ Parâmetros'!B8+K40*'⚙️ Parâmetros'!B9+'⚙️ Parâmetros'!B10+IF(M40="Sim",'⚙️ Parâmetros'!B11,0)+IF(N40="Sim",'⚙️ Parâmetros'!B12,0)+IF(P40="",0,P40))</f>
        <v/>
      </c>
      <c r="R40" s="40">
        <f>IF(Q40="","",Q40*'⚙️ Parâmetros'!B13)</f>
        <v/>
      </c>
      <c r="S40" s="41">
        <f>IF(Q40="","",Q40*'⚙️ Parâmetros'!B14)</f>
        <v/>
      </c>
      <c r="T40" s="91" t="n"/>
      <c r="U40" s="52" t="n"/>
      <c r="V40" s="0">
        <f>IF(B40="","",IFERROR(VLOOKUP(C40,'⚙️ Parâmetros'!$A$20:$B$29,2,0)&amp;"-2026-"&amp;TEXT(COUNTIF($B$7:B40,B40),"000"),""))</f>
        <v/>
      </c>
    </row>
    <row r="41" ht="54.75" customHeight="1" s="109">
      <c r="A41" s="31">
        <f>IF(T41="","",IMAGE(T41,4,50,50))</f>
        <v/>
      </c>
      <c r="B41" s="8" t="n"/>
      <c r="C41" s="8" t="n"/>
      <c r="D41" s="8" t="n"/>
      <c r="E41" s="34" t="n"/>
      <c r="F41" s="35" t="n"/>
      <c r="G41" s="34" t="n"/>
      <c r="H41" s="35" t="n"/>
      <c r="I41" s="34" t="n"/>
      <c r="J41" s="35" t="n"/>
      <c r="K41" s="36" t="n"/>
      <c r="L41" s="33" t="n"/>
      <c r="M41" s="33" t="n"/>
      <c r="N41" s="33" t="n"/>
      <c r="O41" s="37" t="n"/>
      <c r="P41" s="38" t="n"/>
      <c r="Q41" s="39">
        <f>IF(F41=0,"",(F41+H41+J41)/1000*'⚙️ Parâmetros'!B6+K41*'⚙️ Parâmetros'!B7*'⚙️ Parâmetros'!B8+K41*'⚙️ Parâmetros'!B9+'⚙️ Parâmetros'!B10+IF(M41="Sim",'⚙️ Parâmetros'!B11,0)+IF(N41="Sim",'⚙️ Parâmetros'!B12,0)+IF(P41="",0,P41))</f>
        <v/>
      </c>
      <c r="R41" s="40">
        <f>IF(Q41="","",Q41*'⚙️ Parâmetros'!B13)</f>
        <v/>
      </c>
      <c r="S41" s="41">
        <f>IF(Q41="","",Q41*'⚙️ Parâmetros'!B14)</f>
        <v/>
      </c>
      <c r="T41" s="91" t="n"/>
      <c r="U41" s="43" t="n"/>
      <c r="V41" s="0">
        <f>IF(B41="","",IFERROR(VLOOKUP(C41,'⚙️ Parâmetros'!$A$20:$B$29,2,0)&amp;"-2026-"&amp;TEXT(COUNTIF($B$7:B41,B41),"000"),""))</f>
        <v/>
      </c>
    </row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6">
    <mergeCell ref="B1:U1"/>
    <mergeCell ref="A4:U4"/>
    <mergeCell ref="Q5:S5"/>
    <mergeCell ref="A2:U2"/>
    <mergeCell ref="O5:P5"/>
    <mergeCell ref="E5:J5"/>
  </mergeCells>
  <dataValidations count="3">
    <dataValidation sqref="M7:N41" showDropDown="0" showInputMessage="0" showErrorMessage="0" allowBlank="1" type="list">
      <formula1>"Sim,Não"</formula1>
    </dataValidation>
    <dataValidation sqref="E7:E41 G7:G41 I7:I41" showDropDown="0" showInputMessage="0" showErrorMessage="0" allowBlank="1" type="list">
      <formula1>'🎨 Filamento'!$A$5:$A$387</formula1>
    </dataValidation>
    <dataValidation sqref="L7:L41" showDropDown="0" showInputMessage="0" showErrorMessage="0" allowBlank="1" type="list">
      <formula1>"0.2,0.4,0.6,0.8"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22" customWidth="1" style="109" min="2" max="2"/>
    <col width="12" customWidth="1" style="109" min="3" max="3"/>
    <col width="16" customWidth="1" style="109" min="4" max="4"/>
    <col width="14" customWidth="1" style="109" min="5" max="7"/>
    <col width="12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3">
      <c r="A3" s="0" t="inlineStr">
        <is>
          <t>💡 Registre Entradas (compras) e Saídas (uso nas impressões)</t>
        </is>
      </c>
    </row>
    <row r="4" ht="21.75" customHeight="1" s="109">
      <c r="A4" s="7" t="inlineStr">
        <is>
          <t>Filamento / Cor</t>
        </is>
      </c>
      <c r="B4" s="7" t="inlineStr">
        <is>
          <t>Tipo</t>
        </is>
      </c>
      <c r="C4" s="7" t="inlineStr">
        <is>
          <t>Estoque Inicial (g)</t>
        </is>
      </c>
      <c r="D4" s="7" t="inlineStr">
        <is>
          <t>Entradas (g)</t>
        </is>
      </c>
      <c r="E4" s="7" t="inlineStr">
        <is>
          <t>Saídas (g)</t>
        </is>
      </c>
      <c r="F4" s="7" t="inlineStr">
        <is>
          <t>Saldo (g)</t>
        </is>
      </c>
      <c r="G4" s="7" t="inlineStr">
        <is>
          <t>Saldo (kg)</t>
        </is>
      </c>
      <c r="H4" s="7" t="inlineStr">
        <is>
          <t>Status</t>
        </is>
      </c>
    </row>
    <row r="5" ht="18" customHeight="1" s="109">
      <c r="A5" s="15" t="inlineStr">
        <is>
          <t>Creality | Hyper PLA | Branco</t>
        </is>
      </c>
      <c r="B5" s="33" t="inlineStr">
        <is>
          <t>Hyper PLA</t>
        </is>
      </c>
      <c r="C5" s="91" t="n">
        <v>0</v>
      </c>
      <c r="D5" s="91" t="n">
        <v>0</v>
      </c>
      <c r="E5" s="91" t="n">
        <v>0</v>
      </c>
      <c r="F5" s="53">
        <f>C5+D5-E5</f>
        <v/>
      </c>
      <c r="G5" s="54">
        <f>F5/1000</f>
        <v/>
      </c>
      <c r="H5" s="55">
        <f>IF(F5&lt;200,"⚠️ BAIXO",IF(F5&lt;500,"📦 OK","✅ CHEIO"))</f>
        <v/>
      </c>
    </row>
    <row r="6" ht="18" customHeight="1" s="109">
      <c r="A6" s="19" t="inlineStr">
        <is>
          <t>Creality | Hyper PLA | Preto</t>
        </is>
      </c>
      <c r="B6" s="46" t="inlineStr">
        <is>
          <t>Hyper PLA</t>
        </is>
      </c>
      <c r="C6" s="91" t="n">
        <v>0</v>
      </c>
      <c r="D6" s="91" t="n">
        <v>0</v>
      </c>
      <c r="E6" s="91" t="n">
        <v>0</v>
      </c>
      <c r="F6" s="53">
        <f>C6+D6-E6</f>
        <v/>
      </c>
      <c r="G6" s="54">
        <f>F6/1000</f>
        <v/>
      </c>
      <c r="H6" s="55">
        <f>IF(F6&lt;200,"⚠️ BAIXO",IF(F6&lt;500,"📦 OK","✅ CHEIO"))</f>
        <v/>
      </c>
    </row>
    <row r="7" ht="18" customHeight="1" s="109">
      <c r="A7" s="15" t="inlineStr">
        <is>
          <t>Creality | Hyper PLA | Vermelho</t>
        </is>
      </c>
      <c r="B7" s="33" t="inlineStr">
        <is>
          <t>Hyper PLA</t>
        </is>
      </c>
      <c r="C7" s="91" t="n">
        <v>0</v>
      </c>
      <c r="D7" s="91" t="n">
        <v>0</v>
      </c>
      <c r="E7" s="91" t="n">
        <v>0</v>
      </c>
      <c r="F7" s="53">
        <f>C7+D7-E7</f>
        <v/>
      </c>
      <c r="G7" s="54">
        <f>F7/1000</f>
        <v/>
      </c>
      <c r="H7" s="55">
        <f>IF(F7&lt;200,"⚠️ BAIXO",IF(F7&lt;500,"📦 OK","✅ CHEIO"))</f>
        <v/>
      </c>
    </row>
    <row r="8" ht="18" customHeight="1" s="109">
      <c r="A8" s="19" t="inlineStr">
        <is>
          <t>Creality | Hyper PLA | Azul</t>
        </is>
      </c>
      <c r="B8" s="46" t="inlineStr">
        <is>
          <t>Hyper PLA</t>
        </is>
      </c>
      <c r="C8" s="91" t="n">
        <v>0</v>
      </c>
      <c r="D8" s="91" t="n">
        <v>0</v>
      </c>
      <c r="E8" s="91" t="n">
        <v>0</v>
      </c>
      <c r="F8" s="53">
        <f>C8+D8-E8</f>
        <v/>
      </c>
      <c r="G8" s="54">
        <f>F8/1000</f>
        <v/>
      </c>
      <c r="H8" s="55">
        <f>IF(F8&lt;200,"⚠️ BAIXO",IF(F8&lt;500,"📦 OK","✅ CHEIO"))</f>
        <v/>
      </c>
    </row>
    <row r="9" ht="18" customHeight="1" s="109">
      <c r="A9" s="15" t="inlineStr">
        <is>
          <t>Creality | Hyper PLA | Cinza</t>
        </is>
      </c>
      <c r="B9" s="33" t="inlineStr">
        <is>
          <t>Hyper PLA</t>
        </is>
      </c>
      <c r="C9" s="91" t="n">
        <v>0</v>
      </c>
      <c r="D9" s="91" t="n">
        <v>0</v>
      </c>
      <c r="E9" s="91" t="n">
        <v>0</v>
      </c>
      <c r="F9" s="53">
        <f>C9+D9-E9</f>
        <v/>
      </c>
      <c r="G9" s="54">
        <f>F9/1000</f>
        <v/>
      </c>
      <c r="H9" s="55">
        <f>IF(F9&lt;200,"⚠️ BAIXO",IF(F9&lt;500,"📦 OK","✅ CHEIO"))</f>
        <v/>
      </c>
    </row>
    <row r="10" ht="18" customHeight="1" s="109">
      <c r="A10" s="19" t="inlineStr">
        <is>
          <t>Creality | Hyper PLA | Verde</t>
        </is>
      </c>
      <c r="B10" s="46" t="inlineStr">
        <is>
          <t>Hyper PLA</t>
        </is>
      </c>
      <c r="C10" s="91" t="n">
        <v>0</v>
      </c>
      <c r="D10" s="91" t="n">
        <v>0</v>
      </c>
      <c r="E10" s="91" t="n">
        <v>0</v>
      </c>
      <c r="F10" s="53">
        <f>C10+D10-E10</f>
        <v/>
      </c>
      <c r="G10" s="54">
        <f>F10/1000</f>
        <v/>
      </c>
      <c r="H10" s="55">
        <f>IF(F10&lt;200,"⚠️ BAIXO",IF(F10&lt;500,"📦 OK","✅ CHEIO"))</f>
        <v/>
      </c>
    </row>
    <row r="11" ht="18" customHeight="1" s="109">
      <c r="A11" s="15" t="inlineStr">
        <is>
          <t>Creality | Hyper PLA | Amarelo</t>
        </is>
      </c>
      <c r="B11" s="33" t="inlineStr">
        <is>
          <t>Hyper PLA</t>
        </is>
      </c>
      <c r="C11" s="91" t="n">
        <v>0</v>
      </c>
      <c r="D11" s="91" t="n">
        <v>0</v>
      </c>
      <c r="E11" s="91" t="n">
        <v>0</v>
      </c>
      <c r="F11" s="53">
        <f>C11+D11-E11</f>
        <v/>
      </c>
      <c r="G11" s="54">
        <f>F11/1000</f>
        <v/>
      </c>
      <c r="H11" s="55">
        <f>IF(F11&lt;200,"⚠️ BAIXO",IF(F11&lt;500,"📦 OK","✅ CHEIO"))</f>
        <v/>
      </c>
    </row>
    <row r="12" ht="18" customHeight="1" s="109">
      <c r="A12" s="19" t="inlineStr">
        <is>
          <t>Creality | Hyper PLA | Laranja</t>
        </is>
      </c>
      <c r="B12" s="46" t="inlineStr">
        <is>
          <t>Hyper PLA</t>
        </is>
      </c>
      <c r="C12" s="91" t="n">
        <v>0</v>
      </c>
      <c r="D12" s="91" t="n">
        <v>0</v>
      </c>
      <c r="E12" s="91" t="n">
        <v>0</v>
      </c>
      <c r="F12" s="53">
        <f>C12+D12-E12</f>
        <v/>
      </c>
      <c r="G12" s="54">
        <f>F12/1000</f>
        <v/>
      </c>
      <c r="H12" s="55">
        <f>IF(F12&lt;200,"⚠️ BAIXO",IF(F12&lt;500,"📦 OK","✅ CHEIO"))</f>
        <v/>
      </c>
    </row>
    <row r="13" ht="18" customHeight="1" s="109">
      <c r="A13" s="15" t="inlineStr">
        <is>
          <t>Creality | Hyper PLA | Rosa</t>
        </is>
      </c>
      <c r="B13" s="33" t="inlineStr">
        <is>
          <t>Hyper PLA</t>
        </is>
      </c>
      <c r="C13" s="91" t="n">
        <v>0</v>
      </c>
      <c r="D13" s="91" t="n">
        <v>0</v>
      </c>
      <c r="E13" s="91" t="n">
        <v>0</v>
      </c>
      <c r="F13" s="53">
        <f>C13+D13-E13</f>
        <v/>
      </c>
      <c r="G13" s="54">
        <f>F13/1000</f>
        <v/>
      </c>
      <c r="H13" s="55">
        <f>IF(F13&lt;200,"⚠️ BAIXO",IF(F13&lt;500,"📦 OK","✅ CHEIO"))</f>
        <v/>
      </c>
    </row>
    <row r="14" ht="18" customHeight="1" s="109">
      <c r="A14" s="19" t="inlineStr">
        <is>
          <t>Creality | Hyper PLA | Roxo</t>
        </is>
      </c>
      <c r="B14" s="46" t="inlineStr">
        <is>
          <t>Hyper PLA</t>
        </is>
      </c>
      <c r="C14" s="91" t="n">
        <v>0</v>
      </c>
      <c r="D14" s="91" t="n">
        <v>0</v>
      </c>
      <c r="E14" s="91" t="n">
        <v>0</v>
      </c>
      <c r="F14" s="53">
        <f>C14+D14-E14</f>
        <v/>
      </c>
      <c r="G14" s="54">
        <f>F14/1000</f>
        <v/>
      </c>
      <c r="H14" s="55">
        <f>IF(F14&lt;200,"⚠️ BAIXO",IF(F14&lt;500,"📦 OK","✅ CHEIO"))</f>
        <v/>
      </c>
    </row>
    <row r="15" ht="18" customHeight="1" s="109">
      <c r="A15" s="15" t="inlineStr">
        <is>
          <t>Creality | Hyper PLA RFID | Vermelho</t>
        </is>
      </c>
      <c r="B15" s="33" t="inlineStr">
        <is>
          <t>Hyper PLA RFID</t>
        </is>
      </c>
      <c r="C15" s="91" t="n">
        <v>0</v>
      </c>
      <c r="D15" s="91" t="n">
        <v>0</v>
      </c>
      <c r="E15" s="91" t="n">
        <v>0</v>
      </c>
      <c r="F15" s="53">
        <f>C15+D15-E15</f>
        <v/>
      </c>
      <c r="G15" s="54">
        <f>F15/1000</f>
        <v/>
      </c>
      <c r="H15" s="55">
        <f>IF(F15&lt;200,"⚠️ BAIXO",IF(F15&lt;500,"📦 OK","✅ CHEIO"))</f>
        <v/>
      </c>
    </row>
    <row r="16" ht="18" customHeight="1" s="109">
      <c r="A16" s="19" t="inlineStr">
        <is>
          <t>Creality | Hyper PLA RFID | Azul</t>
        </is>
      </c>
      <c r="B16" s="46" t="inlineStr">
        <is>
          <t>Hyper PLA RFID</t>
        </is>
      </c>
      <c r="C16" s="91" t="n">
        <v>0</v>
      </c>
      <c r="D16" s="91" t="n">
        <v>0</v>
      </c>
      <c r="E16" s="91" t="n">
        <v>0</v>
      </c>
      <c r="F16" s="53">
        <f>C16+D16-E16</f>
        <v/>
      </c>
      <c r="G16" s="54">
        <f>F16/1000</f>
        <v/>
      </c>
      <c r="H16" s="55">
        <f>IF(F16&lt;200,"⚠️ BAIXO",IF(F16&lt;500,"📦 OK","✅ CHEIO"))</f>
        <v/>
      </c>
    </row>
    <row r="17" ht="18" customHeight="1" s="109">
      <c r="A17" s="15" t="inlineStr">
        <is>
          <t>Creality | Hyper PLA RFID | Preto</t>
        </is>
      </c>
      <c r="B17" s="33" t="inlineStr">
        <is>
          <t>Hyper PLA RFID</t>
        </is>
      </c>
      <c r="C17" s="91" t="n">
        <v>0</v>
      </c>
      <c r="D17" s="91" t="n">
        <v>0</v>
      </c>
      <c r="E17" s="91" t="n">
        <v>0</v>
      </c>
      <c r="F17" s="53">
        <f>C17+D17-E17</f>
        <v/>
      </c>
      <c r="G17" s="54">
        <f>F17/1000</f>
        <v/>
      </c>
      <c r="H17" s="55">
        <f>IF(F17&lt;200,"⚠️ BAIXO",IF(F17&lt;500,"📦 OK","✅ CHEIO"))</f>
        <v/>
      </c>
    </row>
    <row r="18" ht="18" customHeight="1" s="109">
      <c r="A18" s="19" t="inlineStr">
        <is>
          <t>Creality | Hyper PLA RFID | Branco</t>
        </is>
      </c>
      <c r="B18" s="46" t="inlineStr">
        <is>
          <t>Hyper PLA RFID</t>
        </is>
      </c>
      <c r="C18" s="91" t="n">
        <v>0</v>
      </c>
      <c r="D18" s="91" t="n">
        <v>0</v>
      </c>
      <c r="E18" s="91" t="n">
        <v>0</v>
      </c>
      <c r="F18" s="53">
        <f>C18+D18-E18</f>
        <v/>
      </c>
      <c r="G18" s="54">
        <f>F18/1000</f>
        <v/>
      </c>
      <c r="H18" s="55">
        <f>IF(F18&lt;200,"⚠️ BAIXO",IF(F18&lt;500,"📦 OK","✅ CHEIO"))</f>
        <v/>
      </c>
    </row>
    <row r="19" ht="18" customHeight="1" s="109">
      <c r="A19" s="15" t="inlineStr">
        <is>
          <t>Creality | Hyper PLA RFID | Cinza</t>
        </is>
      </c>
      <c r="B19" s="33" t="inlineStr">
        <is>
          <t>Hyper PLA RFID</t>
        </is>
      </c>
      <c r="C19" s="91" t="n">
        <v>0</v>
      </c>
      <c r="D19" s="91" t="n">
        <v>0</v>
      </c>
      <c r="E19" s="91" t="n">
        <v>0</v>
      </c>
      <c r="F19" s="53">
        <f>C19+D19-E19</f>
        <v/>
      </c>
      <c r="G19" s="54">
        <f>F19/1000</f>
        <v/>
      </c>
      <c r="H19" s="55">
        <f>IF(F19&lt;200,"⚠️ BAIXO",IF(F19&lt;500,"📦 OK","✅ CHEIO"))</f>
        <v/>
      </c>
    </row>
    <row r="20" ht="18" customHeight="1" s="109">
      <c r="A20" s="19" t="inlineStr">
        <is>
          <t>Creality | Hyper PLA RFID | Verde</t>
        </is>
      </c>
      <c r="B20" s="46" t="inlineStr">
        <is>
          <t>Hyper PLA RFID</t>
        </is>
      </c>
      <c r="C20" s="91" t="n">
        <v>0</v>
      </c>
      <c r="D20" s="91" t="n">
        <v>0</v>
      </c>
      <c r="E20" s="91" t="n">
        <v>0</v>
      </c>
      <c r="F20" s="53">
        <f>C20+D20-E20</f>
        <v/>
      </c>
      <c r="G20" s="54">
        <f>F20/1000</f>
        <v/>
      </c>
      <c r="H20" s="55">
        <f>IF(F20&lt;200,"⚠️ BAIXO",IF(F20&lt;500,"📦 OK","✅ CHEIO"))</f>
        <v/>
      </c>
    </row>
    <row r="21" ht="18" customHeight="1" s="109">
      <c r="A21" s="15" t="inlineStr">
        <is>
          <t>Creality | Hyper PLA RFID Stardust | Verde Estrellado</t>
        </is>
      </c>
      <c r="B21" s="33" t="inlineStr">
        <is>
          <t>Hyper PLA RFID Stardust</t>
        </is>
      </c>
      <c r="C21" s="91" t="n">
        <v>0</v>
      </c>
      <c r="D21" s="91" t="n">
        <v>0</v>
      </c>
      <c r="E21" s="91" t="n">
        <v>0</v>
      </c>
      <c r="F21" s="53">
        <f>C21+D21-E21</f>
        <v/>
      </c>
      <c r="G21" s="54">
        <f>F21/1000</f>
        <v/>
      </c>
      <c r="H21" s="55">
        <f>IF(F21&lt;200,"⚠️ BAIXO",IF(F21&lt;500,"📦 OK","✅ CHEIO"))</f>
        <v/>
      </c>
    </row>
    <row r="22" ht="18" customHeight="1" s="109">
      <c r="A22" s="19" t="inlineStr">
        <is>
          <t>Creality | Hyper PLA Luminiscente | Azul</t>
        </is>
      </c>
      <c r="B22" s="46" t="inlineStr">
        <is>
          <t>Hyper PLA Luminiscente</t>
        </is>
      </c>
      <c r="C22" s="91" t="n">
        <v>0</v>
      </c>
      <c r="D22" s="91" t="n">
        <v>0</v>
      </c>
      <c r="E22" s="91" t="n">
        <v>0</v>
      </c>
      <c r="F22" s="53">
        <f>C22+D22-E22</f>
        <v/>
      </c>
      <c r="G22" s="54">
        <f>F22/1000</f>
        <v/>
      </c>
      <c r="H22" s="55">
        <f>IF(F22&lt;200,"⚠️ BAIXO",IF(F22&lt;500,"📦 OK","✅ CHEIO"))</f>
        <v/>
      </c>
    </row>
    <row r="23" ht="18" customHeight="1" s="109">
      <c r="A23" s="15" t="inlineStr">
        <is>
          <t>Creality | Hyper PLA-CF | Preto</t>
        </is>
      </c>
      <c r="B23" s="33" t="inlineStr">
        <is>
          <t>Hyper PLA-CF</t>
        </is>
      </c>
      <c r="C23" s="91" t="n">
        <v>0</v>
      </c>
      <c r="D23" s="91" t="n">
        <v>0</v>
      </c>
      <c r="E23" s="91" t="n">
        <v>0</v>
      </c>
      <c r="F23" s="53">
        <f>C23+D23-E23</f>
        <v/>
      </c>
      <c r="G23" s="54">
        <f>F23/1000</f>
        <v/>
      </c>
      <c r="H23" s="55">
        <f>IF(F23&lt;200,"⚠️ BAIXO",IF(F23&lt;500,"📦 OK","✅ CHEIO"))</f>
        <v/>
      </c>
    </row>
    <row r="24" ht="18" customHeight="1" s="109">
      <c r="A24" s="19" t="inlineStr">
        <is>
          <t>Creality | Hyper PETG | Branco</t>
        </is>
      </c>
      <c r="B24" s="46" t="inlineStr">
        <is>
          <t>Hyper PETG</t>
        </is>
      </c>
      <c r="C24" s="91" t="n">
        <v>0</v>
      </c>
      <c r="D24" s="91" t="n">
        <v>0</v>
      </c>
      <c r="E24" s="91" t="n">
        <v>0</v>
      </c>
      <c r="F24" s="53">
        <f>C24+D24-E24</f>
        <v/>
      </c>
      <c r="G24" s="54">
        <f>F24/1000</f>
        <v/>
      </c>
      <c r="H24" s="55">
        <f>IF(F24&lt;200,"⚠️ BAIXO",IF(F24&lt;500,"📦 OK","✅ CHEIO"))</f>
        <v/>
      </c>
    </row>
    <row r="25" ht="18" customHeight="1" s="109">
      <c r="A25" s="15" t="inlineStr">
        <is>
          <t>Creality | Hyper PETG | Preto</t>
        </is>
      </c>
      <c r="B25" s="33" t="inlineStr">
        <is>
          <t>Hyper PETG</t>
        </is>
      </c>
      <c r="C25" s="91" t="n">
        <v>0</v>
      </c>
      <c r="D25" s="91" t="n">
        <v>0</v>
      </c>
      <c r="E25" s="91" t="n">
        <v>0</v>
      </c>
      <c r="F25" s="53">
        <f>C25+D25-E25</f>
        <v/>
      </c>
      <c r="G25" s="54">
        <f>F25/1000</f>
        <v/>
      </c>
      <c r="H25" s="55">
        <f>IF(F25&lt;200,"⚠️ BAIXO",IF(F25&lt;500,"📦 OK","✅ CHEIO"))</f>
        <v/>
      </c>
    </row>
    <row r="26" ht="18" customHeight="1" s="109">
      <c r="A26" s="19" t="inlineStr">
        <is>
          <t>Creality | Hyper PETG | Transparente</t>
        </is>
      </c>
      <c r="B26" s="46" t="inlineStr">
        <is>
          <t>Hyper PETG</t>
        </is>
      </c>
      <c r="C26" s="91" t="n">
        <v>0</v>
      </c>
      <c r="D26" s="91" t="n">
        <v>0</v>
      </c>
      <c r="E26" s="91" t="n">
        <v>0</v>
      </c>
      <c r="F26" s="53">
        <f>C26+D26-E26</f>
        <v/>
      </c>
      <c r="G26" s="54">
        <f>F26/1000</f>
        <v/>
      </c>
      <c r="H26" s="55">
        <f>IF(F26&lt;200,"⚠️ BAIXO",IF(F26&lt;500,"📦 OK","✅ CHEIO"))</f>
        <v/>
      </c>
    </row>
    <row r="27" ht="18" customHeight="1" s="109">
      <c r="A27" s="15" t="inlineStr">
        <is>
          <t>Creality | Hyper PETG | Cinza</t>
        </is>
      </c>
      <c r="B27" s="33" t="inlineStr">
        <is>
          <t>Hyper PETG</t>
        </is>
      </c>
      <c r="C27" s="91" t="n">
        <v>0</v>
      </c>
      <c r="D27" s="91" t="n">
        <v>0</v>
      </c>
      <c r="E27" s="91" t="n">
        <v>0</v>
      </c>
      <c r="F27" s="53">
        <f>C27+D27-E27</f>
        <v/>
      </c>
      <c r="G27" s="54">
        <f>F27/1000</f>
        <v/>
      </c>
      <c r="H27" s="55">
        <f>IF(F27&lt;200,"⚠️ BAIXO",IF(F27&lt;500,"📦 OK","✅ CHEIO"))</f>
        <v/>
      </c>
    </row>
    <row r="28" ht="18" customHeight="1" s="109">
      <c r="A28" s="19" t="inlineStr">
        <is>
          <t>Creality | Hyper PETG | Azul</t>
        </is>
      </c>
      <c r="B28" s="46" t="inlineStr">
        <is>
          <t>Hyper PETG</t>
        </is>
      </c>
      <c r="C28" s="91" t="n">
        <v>0</v>
      </c>
      <c r="D28" s="91" t="n">
        <v>0</v>
      </c>
      <c r="E28" s="91" t="n">
        <v>0</v>
      </c>
      <c r="F28" s="53">
        <f>C28+D28-E28</f>
        <v/>
      </c>
      <c r="G28" s="54">
        <f>F28/1000</f>
        <v/>
      </c>
      <c r="H28" s="55">
        <f>IF(F28&lt;200,"⚠️ BAIXO",IF(F28&lt;500,"📦 OK","✅ CHEIO"))</f>
        <v/>
      </c>
    </row>
    <row r="29" ht="18" customHeight="1" s="109">
      <c r="A29" s="15" t="inlineStr">
        <is>
          <t>Creality | Hyper ABS | Branco</t>
        </is>
      </c>
      <c r="B29" s="33" t="inlineStr">
        <is>
          <t>Hyper ABS</t>
        </is>
      </c>
      <c r="C29" s="91" t="n">
        <v>0</v>
      </c>
      <c r="D29" s="91" t="n">
        <v>0</v>
      </c>
      <c r="E29" s="91" t="n">
        <v>0</v>
      </c>
      <c r="F29" s="53">
        <f>C29+D29-E29</f>
        <v/>
      </c>
      <c r="G29" s="54">
        <f>F29/1000</f>
        <v/>
      </c>
      <c r="H29" s="55">
        <f>IF(F29&lt;200,"⚠️ BAIXO",IF(F29&lt;500,"📦 OK","✅ CHEIO"))</f>
        <v/>
      </c>
    </row>
    <row r="30" ht="18" customHeight="1" s="109">
      <c r="A30" s="19" t="inlineStr">
        <is>
          <t>Creality | Hyper ABS | Preto</t>
        </is>
      </c>
      <c r="B30" s="46" t="inlineStr">
        <is>
          <t>Hyper ABS</t>
        </is>
      </c>
      <c r="C30" s="91" t="n">
        <v>0</v>
      </c>
      <c r="D30" s="91" t="n">
        <v>0</v>
      </c>
      <c r="E30" s="91" t="n">
        <v>0</v>
      </c>
      <c r="F30" s="53">
        <f>C30+D30-E30</f>
        <v/>
      </c>
      <c r="G30" s="54">
        <f>F30/1000</f>
        <v/>
      </c>
      <c r="H30" s="55">
        <f>IF(F30&lt;200,"⚠️ BAIXO",IF(F30&lt;500,"📦 OK","✅ CHEIO"))</f>
        <v/>
      </c>
    </row>
    <row r="31" ht="18" customHeight="1" s="109">
      <c r="A31" s="15" t="inlineStr">
        <is>
          <t>Creality | Hyper ABS | Cinza</t>
        </is>
      </c>
      <c r="B31" s="33" t="inlineStr">
        <is>
          <t>Hyper ABS</t>
        </is>
      </c>
      <c r="C31" s="91" t="n">
        <v>0</v>
      </c>
      <c r="D31" s="91" t="n">
        <v>0</v>
      </c>
      <c r="E31" s="91" t="n">
        <v>0</v>
      </c>
      <c r="F31" s="53">
        <f>C31+D31-E31</f>
        <v/>
      </c>
      <c r="G31" s="54">
        <f>F31/1000</f>
        <v/>
      </c>
      <c r="H31" s="55">
        <f>IF(F31&lt;200,"⚠️ BAIXO",IF(F31&lt;500,"📦 OK","✅ CHEIO"))</f>
        <v/>
      </c>
    </row>
    <row r="32" ht="18" customHeight="1" s="109">
      <c r="A32" s="19" t="inlineStr">
        <is>
          <t>Creality | Hyper ABS | Vermelho</t>
        </is>
      </c>
      <c r="B32" s="46" t="inlineStr">
        <is>
          <t>Hyper ABS</t>
        </is>
      </c>
      <c r="C32" s="91" t="n">
        <v>0</v>
      </c>
      <c r="D32" s="91" t="n">
        <v>0</v>
      </c>
      <c r="E32" s="91" t="n">
        <v>0</v>
      </c>
      <c r="F32" s="53">
        <f>C32+D32-E32</f>
        <v/>
      </c>
      <c r="G32" s="54">
        <f>F32/1000</f>
        <v/>
      </c>
      <c r="H32" s="55">
        <f>IF(F32&lt;200,"⚠️ BAIXO",IF(F32&lt;500,"📦 OK","✅ CHEIO"))</f>
        <v/>
      </c>
    </row>
    <row r="33" ht="18" customHeight="1" s="109">
      <c r="A33" s="15" t="inlineStr">
        <is>
          <t>Creality | Hyper Rainbow | Branco-Verde</t>
        </is>
      </c>
      <c r="B33" s="33" t="inlineStr">
        <is>
          <t>Hyper Rainbow</t>
        </is>
      </c>
      <c r="C33" s="91" t="n">
        <v>0</v>
      </c>
      <c r="D33" s="91" t="n">
        <v>0</v>
      </c>
      <c r="E33" s="91" t="n">
        <v>0</v>
      </c>
      <c r="F33" s="53">
        <f>C33+D33-E33</f>
        <v/>
      </c>
      <c r="G33" s="54">
        <f>F33/1000</f>
        <v/>
      </c>
      <c r="H33" s="55">
        <f>IF(F33&lt;200,"⚠️ BAIXO",IF(F33&lt;500,"📦 OK","✅ CHEIO"))</f>
        <v/>
      </c>
    </row>
    <row r="34" ht="18" customHeight="1" s="109">
      <c r="A34" s="19" t="inlineStr">
        <is>
          <t>Creality | Hyper Rainbow | Multicolor</t>
        </is>
      </c>
      <c r="B34" s="46" t="inlineStr">
        <is>
          <t>Hyper Rainbow</t>
        </is>
      </c>
      <c r="C34" s="91" t="n">
        <v>0</v>
      </c>
      <c r="D34" s="91" t="n">
        <v>0</v>
      </c>
      <c r="E34" s="91" t="n">
        <v>0</v>
      </c>
      <c r="F34" s="53">
        <f>C34+D34-E34</f>
        <v/>
      </c>
      <c r="G34" s="54">
        <f>F34/1000</f>
        <v/>
      </c>
      <c r="H34" s="55">
        <f>IF(F34&lt;200,"⚠️ BAIXO",IF(F34&lt;500,"📦 OK","✅ CHEIO"))</f>
        <v/>
      </c>
    </row>
    <row r="35" ht="18" customHeight="1" s="109">
      <c r="A35" s="15" t="inlineStr">
        <is>
          <t>Creality | Hyper PC | Transparente</t>
        </is>
      </c>
      <c r="B35" s="33" t="inlineStr">
        <is>
          <t>Hyper PC</t>
        </is>
      </c>
      <c r="C35" s="91" t="n">
        <v>0</v>
      </c>
      <c r="D35" s="91" t="n">
        <v>0</v>
      </c>
      <c r="E35" s="91" t="n">
        <v>0</v>
      </c>
      <c r="F35" s="53">
        <f>C35+D35-E35</f>
        <v/>
      </c>
      <c r="G35" s="54">
        <f>F35/1000</f>
        <v/>
      </c>
      <c r="H35" s="55">
        <f>IF(F35&lt;200,"⚠️ BAIXO",IF(F35&lt;500,"📦 OK","✅ CHEIO"))</f>
        <v/>
      </c>
    </row>
    <row r="36" ht="18" customHeight="1" s="109">
      <c r="A36" s="19" t="inlineStr">
        <is>
          <t>Creality | Hyper PC | Preto</t>
        </is>
      </c>
      <c r="B36" s="46" t="inlineStr">
        <is>
          <t>Hyper PC</t>
        </is>
      </c>
      <c r="C36" s="91" t="n">
        <v>0</v>
      </c>
      <c r="D36" s="91" t="n">
        <v>0</v>
      </c>
      <c r="E36" s="91" t="n">
        <v>0</v>
      </c>
      <c r="F36" s="53">
        <f>C36+D36-E36</f>
        <v/>
      </c>
      <c r="G36" s="54">
        <f>F36/1000</f>
        <v/>
      </c>
      <c r="H36" s="55">
        <f>IF(F36&lt;200,"⚠️ BAIXO",IF(F36&lt;500,"📦 OK","✅ CHEIO"))</f>
        <v/>
      </c>
    </row>
    <row r="37" ht="18" customHeight="1" s="109">
      <c r="A37" s="15" t="inlineStr">
        <is>
          <t>Creality | CR-Silk PLA | Branco</t>
        </is>
      </c>
      <c r="B37" s="33" t="inlineStr">
        <is>
          <t>CR-Silk PLA</t>
        </is>
      </c>
      <c r="C37" s="91" t="n">
        <v>0</v>
      </c>
      <c r="D37" s="91" t="n">
        <v>0</v>
      </c>
      <c r="E37" s="91" t="n">
        <v>0</v>
      </c>
      <c r="F37" s="53">
        <f>C37+D37-E37</f>
        <v/>
      </c>
      <c r="G37" s="54">
        <f>F37/1000</f>
        <v/>
      </c>
      <c r="H37" s="55">
        <f>IF(F37&lt;200,"⚠️ BAIXO",IF(F37&lt;500,"📦 OK","✅ CHEIO"))</f>
        <v/>
      </c>
    </row>
    <row r="38" ht="18" customHeight="1" s="109">
      <c r="A38" s="19" t="inlineStr">
        <is>
          <t>Creality | CR-Silk PLA | Preto</t>
        </is>
      </c>
      <c r="B38" s="46" t="inlineStr">
        <is>
          <t>CR-Silk PLA</t>
        </is>
      </c>
      <c r="C38" s="91" t="n">
        <v>0</v>
      </c>
      <c r="D38" s="91" t="n">
        <v>0</v>
      </c>
      <c r="E38" s="91" t="n">
        <v>0</v>
      </c>
      <c r="F38" s="53">
        <f>C38+D38-E38</f>
        <v/>
      </c>
      <c r="G38" s="54">
        <f>F38/1000</f>
        <v/>
      </c>
      <c r="H38" s="55">
        <f>IF(F38&lt;200,"⚠️ BAIXO",IF(F38&lt;500,"📦 OK","✅ CHEIO"))</f>
        <v/>
      </c>
    </row>
    <row r="39" ht="18" customHeight="1" s="109">
      <c r="A39" s="15" t="inlineStr">
        <is>
          <t>Creality | CR-Silk PLA | Dourado</t>
        </is>
      </c>
      <c r="B39" s="33" t="inlineStr">
        <is>
          <t>CR-Silk PLA</t>
        </is>
      </c>
      <c r="C39" s="91" t="n">
        <v>0</v>
      </c>
      <c r="D39" s="91" t="n">
        <v>0</v>
      </c>
      <c r="E39" s="91" t="n">
        <v>0</v>
      </c>
      <c r="F39" s="53">
        <f>C39+D39-E39</f>
        <v/>
      </c>
      <c r="G39" s="54">
        <f>F39/1000</f>
        <v/>
      </c>
      <c r="H39" s="55">
        <f>IF(F39&lt;200,"⚠️ BAIXO",IF(F39&lt;500,"📦 OK","✅ CHEIO"))</f>
        <v/>
      </c>
    </row>
    <row r="40" ht="18" customHeight="1" s="109">
      <c r="A40" s="19" t="inlineStr">
        <is>
          <t>Creality | CR-Silk PLA | Prata</t>
        </is>
      </c>
      <c r="B40" s="46" t="inlineStr">
        <is>
          <t>CR-Silk PLA</t>
        </is>
      </c>
      <c r="C40" s="91" t="n">
        <v>0</v>
      </c>
      <c r="D40" s="91" t="n">
        <v>0</v>
      </c>
      <c r="E40" s="91" t="n">
        <v>0</v>
      </c>
      <c r="F40" s="53">
        <f>C40+D40-E40</f>
        <v/>
      </c>
      <c r="G40" s="54">
        <f>F40/1000</f>
        <v/>
      </c>
      <c r="H40" s="55">
        <f>IF(F40&lt;200,"⚠️ BAIXO",IF(F40&lt;500,"📦 OK","✅ CHEIO"))</f>
        <v/>
      </c>
    </row>
    <row r="41" ht="18" customHeight="1" s="109">
      <c r="A41" s="15" t="inlineStr">
        <is>
          <t>Creality | CR-Silk PLA | Cobre</t>
        </is>
      </c>
      <c r="B41" s="33" t="inlineStr">
        <is>
          <t>CR-Silk PLA</t>
        </is>
      </c>
      <c r="C41" s="91" t="n">
        <v>0</v>
      </c>
      <c r="D41" s="91" t="n">
        <v>0</v>
      </c>
      <c r="E41" s="91" t="n">
        <v>0</v>
      </c>
      <c r="F41" s="53">
        <f>C41+D41-E41</f>
        <v/>
      </c>
      <c r="G41" s="54">
        <f>F41/1000</f>
        <v/>
      </c>
      <c r="H41" s="55">
        <f>IF(F41&lt;200,"⚠️ BAIXO",IF(F41&lt;500,"📦 OK","✅ CHEIO"))</f>
        <v/>
      </c>
    </row>
    <row r="42" ht="18" customHeight="1" s="109">
      <c r="A42" s="19" t="inlineStr">
        <is>
          <t>Creality | CR-Silk PLA | Vermelho</t>
        </is>
      </c>
      <c r="B42" s="46" t="inlineStr">
        <is>
          <t>CR-Silk PLA</t>
        </is>
      </c>
      <c r="C42" s="91" t="n">
        <v>0</v>
      </c>
      <c r="D42" s="91" t="n">
        <v>0</v>
      </c>
      <c r="E42" s="91" t="n">
        <v>0</v>
      </c>
      <c r="F42" s="53">
        <f>C42+D42-E42</f>
        <v/>
      </c>
      <c r="G42" s="54">
        <f>F42/1000</f>
        <v/>
      </c>
      <c r="H42" s="55">
        <f>IF(F42&lt;200,"⚠️ BAIXO",IF(F42&lt;500,"📦 OK","✅ CHEIO"))</f>
        <v/>
      </c>
    </row>
    <row r="43" ht="18" customHeight="1" s="109">
      <c r="A43" s="15" t="inlineStr">
        <is>
          <t>Creality | CR-Silk PLA | Azul</t>
        </is>
      </c>
      <c r="B43" s="33" t="inlineStr">
        <is>
          <t>CR-Silk PLA</t>
        </is>
      </c>
      <c r="C43" s="91" t="n">
        <v>0</v>
      </c>
      <c r="D43" s="91" t="n">
        <v>0</v>
      </c>
      <c r="E43" s="91" t="n">
        <v>0</v>
      </c>
      <c r="F43" s="53">
        <f>C43+D43-E43</f>
        <v/>
      </c>
      <c r="G43" s="54">
        <f>F43/1000</f>
        <v/>
      </c>
      <c r="H43" s="55">
        <f>IF(F43&lt;200,"⚠️ BAIXO",IF(F43&lt;500,"📦 OK","✅ CHEIO"))</f>
        <v/>
      </c>
    </row>
    <row r="44" ht="18" customHeight="1" s="109">
      <c r="A44" s="19" t="inlineStr">
        <is>
          <t>Creality | CR-Silk PLA | Verde</t>
        </is>
      </c>
      <c r="B44" s="46" t="inlineStr">
        <is>
          <t>CR-Silk PLA</t>
        </is>
      </c>
      <c r="C44" s="91" t="n">
        <v>0</v>
      </c>
      <c r="D44" s="91" t="n">
        <v>0</v>
      </c>
      <c r="E44" s="91" t="n">
        <v>0</v>
      </c>
      <c r="F44" s="53">
        <f>C44+D44-E44</f>
        <v/>
      </c>
      <c r="G44" s="54">
        <f>F44/1000</f>
        <v/>
      </c>
      <c r="H44" s="55">
        <f>IF(F44&lt;200,"⚠️ BAIXO",IF(F44&lt;500,"📦 OK","✅ CHEIO"))</f>
        <v/>
      </c>
    </row>
    <row r="45" ht="18" customHeight="1" s="109">
      <c r="A45" s="15" t="inlineStr">
        <is>
          <t>Creality | CR-Silk PLA | Roxo</t>
        </is>
      </c>
      <c r="B45" s="33" t="inlineStr">
        <is>
          <t>CR-Silk PLA</t>
        </is>
      </c>
      <c r="C45" s="91" t="n">
        <v>0</v>
      </c>
      <c r="D45" s="91" t="n">
        <v>0</v>
      </c>
      <c r="E45" s="91" t="n">
        <v>0</v>
      </c>
      <c r="F45" s="53">
        <f>C45+D45-E45</f>
        <v/>
      </c>
      <c r="G45" s="54">
        <f>F45/1000</f>
        <v/>
      </c>
      <c r="H45" s="55">
        <f>IF(F45&lt;200,"⚠️ BAIXO",IF(F45&lt;500,"📦 OK","✅ CHEIO"))</f>
        <v/>
      </c>
    </row>
    <row r="46" ht="18" customHeight="1" s="109">
      <c r="A46" s="19" t="inlineStr">
        <is>
          <t>Creality | CR-Silk PLA | Amarelo</t>
        </is>
      </c>
      <c r="B46" s="46" t="inlineStr">
        <is>
          <t>CR-Silk PLA</t>
        </is>
      </c>
      <c r="C46" s="91" t="n">
        <v>0</v>
      </c>
      <c r="D46" s="91" t="n">
        <v>0</v>
      </c>
      <c r="E46" s="91" t="n">
        <v>0</v>
      </c>
      <c r="F46" s="53">
        <f>C46+D46-E46</f>
        <v/>
      </c>
      <c r="G46" s="54">
        <f>F46/1000</f>
        <v/>
      </c>
      <c r="H46" s="55">
        <f>IF(F46&lt;200,"⚠️ BAIXO",IF(F46&lt;500,"📦 OK","✅ CHEIO"))</f>
        <v/>
      </c>
    </row>
    <row r="47" ht="18" customHeight="1" s="109">
      <c r="A47" s="15" t="inlineStr">
        <is>
          <t>Creality | CR-TPU | Preto</t>
        </is>
      </c>
      <c r="B47" s="33" t="inlineStr">
        <is>
          <t>CR-TPU</t>
        </is>
      </c>
      <c r="C47" s="91" t="n">
        <v>0</v>
      </c>
      <c r="D47" s="91" t="n">
        <v>0</v>
      </c>
      <c r="E47" s="91" t="n">
        <v>0</v>
      </c>
      <c r="F47" s="53">
        <f>C47+D47-E47</f>
        <v/>
      </c>
      <c r="G47" s="54">
        <f>F47/1000</f>
        <v/>
      </c>
      <c r="H47" s="55">
        <f>IF(F47&lt;200,"⚠️ BAIXO",IF(F47&lt;500,"📦 OK","✅ CHEIO"))</f>
        <v/>
      </c>
    </row>
    <row r="48" ht="18" customHeight="1" s="109">
      <c r="A48" s="19" t="inlineStr">
        <is>
          <t>Creality | CR-TPU | Branco</t>
        </is>
      </c>
      <c r="B48" s="46" t="inlineStr">
        <is>
          <t>CR-TPU</t>
        </is>
      </c>
      <c r="C48" s="91" t="n">
        <v>0</v>
      </c>
      <c r="D48" s="91" t="n">
        <v>0</v>
      </c>
      <c r="E48" s="91" t="n">
        <v>0</v>
      </c>
      <c r="F48" s="53">
        <f>C48+D48-E48</f>
        <v/>
      </c>
      <c r="G48" s="54">
        <f>F48/1000</f>
        <v/>
      </c>
      <c r="H48" s="55">
        <f>IF(F48&lt;200,"⚠️ BAIXO",IF(F48&lt;500,"📦 OK","✅ CHEIO"))</f>
        <v/>
      </c>
    </row>
    <row r="49" ht="18" customHeight="1" s="109">
      <c r="A49" s="15" t="inlineStr">
        <is>
          <t>Creality | CR-TPU | Transparente</t>
        </is>
      </c>
      <c r="B49" s="33" t="inlineStr">
        <is>
          <t>CR-TPU</t>
        </is>
      </c>
      <c r="C49" s="91" t="n">
        <v>0</v>
      </c>
      <c r="D49" s="91" t="n">
        <v>0</v>
      </c>
      <c r="E49" s="91" t="n">
        <v>0</v>
      </c>
      <c r="F49" s="53">
        <f>C49+D49-E49</f>
        <v/>
      </c>
      <c r="G49" s="54">
        <f>F49/1000</f>
        <v/>
      </c>
      <c r="H49" s="55">
        <f>IF(F49&lt;200,"⚠️ BAIXO",IF(F49&lt;500,"📦 OK","✅ CHEIO"))</f>
        <v/>
      </c>
    </row>
    <row r="50" ht="18" customHeight="1" s="109">
      <c r="A50" s="19" t="inlineStr">
        <is>
          <t>Creality | HP ASA | Preto</t>
        </is>
      </c>
      <c r="B50" s="46" t="inlineStr">
        <is>
          <t>HP ASA</t>
        </is>
      </c>
      <c r="C50" s="91" t="n">
        <v>0</v>
      </c>
      <c r="D50" s="91" t="n">
        <v>0</v>
      </c>
      <c r="E50" s="91" t="n">
        <v>0</v>
      </c>
      <c r="F50" s="53">
        <f>C50+D50-E50</f>
        <v/>
      </c>
      <c r="G50" s="54">
        <f>F50/1000</f>
        <v/>
      </c>
      <c r="H50" s="55">
        <f>IF(F50&lt;200,"⚠️ BAIXO",IF(F50&lt;500,"📦 OK","✅ CHEIO"))</f>
        <v/>
      </c>
    </row>
    <row r="51" ht="18" customHeight="1" s="109">
      <c r="A51" s="15" t="inlineStr">
        <is>
          <t>Creality | HP ASA | Branco</t>
        </is>
      </c>
      <c r="B51" s="33" t="inlineStr">
        <is>
          <t>HP ASA</t>
        </is>
      </c>
      <c r="C51" s="91" t="n">
        <v>0</v>
      </c>
      <c r="D51" s="91" t="n">
        <v>0</v>
      </c>
      <c r="E51" s="91" t="n">
        <v>0</v>
      </c>
      <c r="F51" s="53">
        <f>C51+D51-E51</f>
        <v/>
      </c>
      <c r="G51" s="54">
        <f>F51/1000</f>
        <v/>
      </c>
      <c r="H51" s="55">
        <f>IF(F51&lt;200,"⚠️ BAIXO",IF(F51&lt;500,"📦 OK","✅ CHEIO"))</f>
        <v/>
      </c>
    </row>
    <row r="52" ht="18" customHeight="1" s="109">
      <c r="A52" s="19" t="inlineStr">
        <is>
          <t>Creality | HP ASA | Cinza</t>
        </is>
      </c>
      <c r="B52" s="46" t="inlineStr">
        <is>
          <t>HP ASA</t>
        </is>
      </c>
      <c r="C52" s="91" t="n">
        <v>0</v>
      </c>
      <c r="D52" s="91" t="n">
        <v>0</v>
      </c>
      <c r="E52" s="91" t="n">
        <v>0</v>
      </c>
      <c r="F52" s="53">
        <f>C52+D52-E52</f>
        <v/>
      </c>
      <c r="G52" s="54">
        <f>F52/1000</f>
        <v/>
      </c>
      <c r="H52" s="55">
        <f>IF(F52&lt;200,"⚠️ BAIXO",IF(F52&lt;500,"📦 OK","✅ CHEIO"))</f>
        <v/>
      </c>
    </row>
    <row r="53" ht="18" customHeight="1" s="109">
      <c r="A53" s="15" t="inlineStr">
        <is>
          <t>Creality | CR-Wood | Madeira Natural</t>
        </is>
      </c>
      <c r="B53" s="33" t="inlineStr">
        <is>
          <t>CR-Wood</t>
        </is>
      </c>
      <c r="C53" s="91" t="n">
        <v>0</v>
      </c>
      <c r="D53" s="91" t="n">
        <v>0</v>
      </c>
      <c r="E53" s="91" t="n">
        <v>0</v>
      </c>
      <c r="F53" s="53">
        <f>C53+D53-E53</f>
        <v/>
      </c>
      <c r="G53" s="54">
        <f>F53/1000</f>
        <v/>
      </c>
      <c r="H53" s="55">
        <f>IF(F53&lt;200,"⚠️ BAIXO",IF(F53&lt;500,"📦 OK","✅ CHEIO"))</f>
        <v/>
      </c>
    </row>
    <row r="54" ht="18" customHeight="1" s="109">
      <c r="A54" s="19" t="inlineStr">
        <is>
          <t>Bambu Lab | PLA Basic | Branco</t>
        </is>
      </c>
      <c r="B54" s="46" t="inlineStr">
        <is>
          <t>PLA Basic</t>
        </is>
      </c>
      <c r="C54" s="91" t="n">
        <v>0</v>
      </c>
      <c r="D54" s="91" t="n">
        <v>0</v>
      </c>
      <c r="E54" s="91" t="n">
        <v>0</v>
      </c>
      <c r="F54" s="53">
        <f>C54+D54-E54</f>
        <v/>
      </c>
      <c r="G54" s="54">
        <f>F54/1000</f>
        <v/>
      </c>
      <c r="H54" s="55">
        <f>IF(F54&lt;200,"⚠️ BAIXO",IF(F54&lt;500,"📦 OK","✅ CHEIO"))</f>
        <v/>
      </c>
    </row>
    <row r="55" ht="18" customHeight="1" s="109">
      <c r="A55" s="15" t="inlineStr">
        <is>
          <t>Bambu Lab | PLA Basic | Preto</t>
        </is>
      </c>
      <c r="B55" s="33" t="inlineStr">
        <is>
          <t>PLA Basic</t>
        </is>
      </c>
      <c r="C55" s="91" t="n">
        <v>0</v>
      </c>
      <c r="D55" s="91" t="n">
        <v>0</v>
      </c>
      <c r="E55" s="91" t="n">
        <v>0</v>
      </c>
      <c r="F55" s="53">
        <f>C55+D55-E55</f>
        <v/>
      </c>
      <c r="G55" s="54">
        <f>F55/1000</f>
        <v/>
      </c>
      <c r="H55" s="55">
        <f>IF(F55&lt;200,"⚠️ BAIXO",IF(F55&lt;500,"📦 OK","✅ CHEIO"))</f>
        <v/>
      </c>
    </row>
    <row r="56" ht="18" customHeight="1" s="109">
      <c r="A56" s="19" t="inlineStr">
        <is>
          <t>Bambu Lab | PLA Basic | Cinza</t>
        </is>
      </c>
      <c r="B56" s="46" t="inlineStr">
        <is>
          <t>PLA Basic</t>
        </is>
      </c>
      <c r="C56" s="91" t="n">
        <v>0</v>
      </c>
      <c r="D56" s="91" t="n">
        <v>0</v>
      </c>
      <c r="E56" s="91" t="n">
        <v>0</v>
      </c>
      <c r="F56" s="53">
        <f>C56+D56-E56</f>
        <v/>
      </c>
      <c r="G56" s="54">
        <f>F56/1000</f>
        <v/>
      </c>
      <c r="H56" s="55">
        <f>IF(F56&lt;200,"⚠️ BAIXO",IF(F56&lt;500,"📦 OK","✅ CHEIO"))</f>
        <v/>
      </c>
    </row>
    <row r="57" ht="18" customHeight="1" s="109">
      <c r="A57" s="15" t="inlineStr">
        <is>
          <t>Bambu Lab | PLA Basic | Vermelho</t>
        </is>
      </c>
      <c r="B57" s="33" t="inlineStr">
        <is>
          <t>PLA Basic</t>
        </is>
      </c>
      <c r="C57" s="91" t="n">
        <v>0</v>
      </c>
      <c r="D57" s="91" t="n">
        <v>0</v>
      </c>
      <c r="E57" s="91" t="n">
        <v>0</v>
      </c>
      <c r="F57" s="53">
        <f>C57+D57-E57</f>
        <v/>
      </c>
      <c r="G57" s="54">
        <f>F57/1000</f>
        <v/>
      </c>
      <c r="H57" s="55">
        <f>IF(F57&lt;200,"⚠️ BAIXO",IF(F57&lt;500,"📦 OK","✅ CHEIO"))</f>
        <v/>
      </c>
    </row>
    <row r="58" ht="18" customHeight="1" s="109">
      <c r="A58" s="19" t="inlineStr">
        <is>
          <t>Bambu Lab | PLA Basic | Azul</t>
        </is>
      </c>
      <c r="B58" s="46" t="inlineStr">
        <is>
          <t>PLA Basic</t>
        </is>
      </c>
      <c r="C58" s="91" t="n">
        <v>0</v>
      </c>
      <c r="D58" s="91" t="n">
        <v>0</v>
      </c>
      <c r="E58" s="91" t="n">
        <v>0</v>
      </c>
      <c r="F58" s="53">
        <f>C58+D58-E58</f>
        <v/>
      </c>
      <c r="G58" s="54">
        <f>F58/1000</f>
        <v/>
      </c>
      <c r="H58" s="55">
        <f>IF(F58&lt;200,"⚠️ BAIXO",IF(F58&lt;500,"📦 OK","✅ CHEIO"))</f>
        <v/>
      </c>
    </row>
    <row r="59" ht="18" customHeight="1" s="109">
      <c r="A59" s="15" t="inlineStr">
        <is>
          <t>Bambu Lab | PLA Basic | Verde</t>
        </is>
      </c>
      <c r="B59" s="33" t="inlineStr">
        <is>
          <t>PLA Basic</t>
        </is>
      </c>
      <c r="C59" s="91" t="n">
        <v>0</v>
      </c>
      <c r="D59" s="91" t="n">
        <v>0</v>
      </c>
      <c r="E59" s="91" t="n">
        <v>0</v>
      </c>
      <c r="F59" s="53">
        <f>C59+D59-E59</f>
        <v/>
      </c>
      <c r="G59" s="54">
        <f>F59/1000</f>
        <v/>
      </c>
      <c r="H59" s="55">
        <f>IF(F59&lt;200,"⚠️ BAIXO",IF(F59&lt;500,"📦 OK","✅ CHEIO"))</f>
        <v/>
      </c>
    </row>
    <row r="60" ht="18" customHeight="1" s="109">
      <c r="A60" s="19" t="inlineStr">
        <is>
          <t>Bambu Lab | PLA Basic | Amarelo</t>
        </is>
      </c>
      <c r="B60" s="46" t="inlineStr">
        <is>
          <t>PLA Basic</t>
        </is>
      </c>
      <c r="C60" s="91" t="n">
        <v>0</v>
      </c>
      <c r="D60" s="91" t="n">
        <v>0</v>
      </c>
      <c r="E60" s="91" t="n">
        <v>0</v>
      </c>
      <c r="F60" s="53">
        <f>C60+D60-E60</f>
        <v/>
      </c>
      <c r="G60" s="54">
        <f>F60/1000</f>
        <v/>
      </c>
      <c r="H60" s="55">
        <f>IF(F60&lt;200,"⚠️ BAIXO",IF(F60&lt;500,"📦 OK","✅ CHEIO"))</f>
        <v/>
      </c>
    </row>
    <row r="61" ht="18" customHeight="1" s="109">
      <c r="A61" s="15" t="inlineStr">
        <is>
          <t>Bambu Lab | PLA Basic | Laranja</t>
        </is>
      </c>
      <c r="B61" s="33" t="inlineStr">
        <is>
          <t>PLA Basic</t>
        </is>
      </c>
      <c r="C61" s="91" t="n">
        <v>0</v>
      </c>
      <c r="D61" s="91" t="n">
        <v>0</v>
      </c>
      <c r="E61" s="91" t="n">
        <v>0</v>
      </c>
      <c r="F61" s="53">
        <f>C61+D61-E61</f>
        <v/>
      </c>
      <c r="G61" s="54">
        <f>F61/1000</f>
        <v/>
      </c>
      <c r="H61" s="55">
        <f>IF(F61&lt;200,"⚠️ BAIXO",IF(F61&lt;500,"📦 OK","✅ CHEIO"))</f>
        <v/>
      </c>
    </row>
    <row r="62" ht="18" customHeight="1" s="109">
      <c r="A62" s="19" t="inlineStr">
        <is>
          <t>Bambu Lab | PLA Basic | Rosa</t>
        </is>
      </c>
      <c r="B62" s="46" t="inlineStr">
        <is>
          <t>PLA Basic</t>
        </is>
      </c>
      <c r="C62" s="91" t="n">
        <v>0</v>
      </c>
      <c r="D62" s="91" t="n">
        <v>0</v>
      </c>
      <c r="E62" s="91" t="n">
        <v>0</v>
      </c>
      <c r="F62" s="53">
        <f>C62+D62-E62</f>
        <v/>
      </c>
      <c r="G62" s="54">
        <f>F62/1000</f>
        <v/>
      </c>
      <c r="H62" s="55">
        <f>IF(F62&lt;200,"⚠️ BAIXO",IF(F62&lt;500,"📦 OK","✅ CHEIO"))</f>
        <v/>
      </c>
    </row>
    <row r="63" ht="18" customHeight="1" s="109">
      <c r="A63" s="15" t="inlineStr">
        <is>
          <t>Bambu Lab | PLA Basic | Roxo</t>
        </is>
      </c>
      <c r="B63" s="33" t="inlineStr">
        <is>
          <t>PLA Basic</t>
        </is>
      </c>
      <c r="C63" s="91" t="n">
        <v>0</v>
      </c>
      <c r="D63" s="91" t="n">
        <v>0</v>
      </c>
      <c r="E63" s="91" t="n">
        <v>0</v>
      </c>
      <c r="F63" s="53">
        <f>C63+D63-E63</f>
        <v/>
      </c>
      <c r="G63" s="54">
        <f>F63/1000</f>
        <v/>
      </c>
      <c r="H63" s="55">
        <f>IF(F63&lt;200,"⚠️ BAIXO",IF(F63&lt;500,"📦 OK","✅ CHEIO"))</f>
        <v/>
      </c>
    </row>
    <row r="64" ht="18" customHeight="1" s="109">
      <c r="A64" s="19" t="inlineStr">
        <is>
          <t>Bambu Lab | PLA Basic | Turquesa</t>
        </is>
      </c>
      <c r="B64" s="46" t="inlineStr">
        <is>
          <t>PLA Basic</t>
        </is>
      </c>
      <c r="C64" s="91" t="n">
        <v>0</v>
      </c>
      <c r="D64" s="91" t="n">
        <v>0</v>
      </c>
      <c r="E64" s="91" t="n">
        <v>0</v>
      </c>
      <c r="F64" s="53">
        <f>C64+D64-E64</f>
        <v/>
      </c>
      <c r="G64" s="54">
        <f>F64/1000</f>
        <v/>
      </c>
      <c r="H64" s="55">
        <f>IF(F64&lt;200,"⚠️ BAIXO",IF(F64&lt;500,"📦 OK","✅ CHEIO"))</f>
        <v/>
      </c>
    </row>
    <row r="65" ht="18" customHeight="1" s="109">
      <c r="A65" s="15" t="inlineStr">
        <is>
          <t>Bambu Lab | PLA Basic | Bege</t>
        </is>
      </c>
      <c r="B65" s="33" t="inlineStr">
        <is>
          <t>PLA Basic</t>
        </is>
      </c>
      <c r="C65" s="91" t="n">
        <v>0</v>
      </c>
      <c r="D65" s="91" t="n">
        <v>0</v>
      </c>
      <c r="E65" s="91" t="n">
        <v>0</v>
      </c>
      <c r="F65" s="53">
        <f>C65+D65-E65</f>
        <v/>
      </c>
      <c r="G65" s="54">
        <f>F65/1000</f>
        <v/>
      </c>
      <c r="H65" s="55">
        <f>IF(F65&lt;200,"⚠️ BAIXO",IF(F65&lt;500,"📦 OK","✅ CHEIO"))</f>
        <v/>
      </c>
    </row>
    <row r="66" ht="18" customHeight="1" s="109">
      <c r="A66" s="19" t="inlineStr">
        <is>
          <t>Bambu Lab | PLA Basic | Marrom</t>
        </is>
      </c>
      <c r="B66" s="46" t="inlineStr">
        <is>
          <t>PLA Basic</t>
        </is>
      </c>
      <c r="C66" s="91" t="n">
        <v>0</v>
      </c>
      <c r="D66" s="91" t="n">
        <v>0</v>
      </c>
      <c r="E66" s="91" t="n">
        <v>0</v>
      </c>
      <c r="F66" s="53">
        <f>C66+D66-E66</f>
        <v/>
      </c>
      <c r="G66" s="54">
        <f>F66/1000</f>
        <v/>
      </c>
      <c r="H66" s="55">
        <f>IF(F66&lt;200,"⚠️ BAIXO",IF(F66&lt;500,"📦 OK","✅ CHEIO"))</f>
        <v/>
      </c>
    </row>
    <row r="67" ht="18" customHeight="1" s="109">
      <c r="A67" s="15" t="inlineStr">
        <is>
          <t>Bambu Lab | PLA Basic | Azul Marinho</t>
        </is>
      </c>
      <c r="B67" s="33" t="inlineStr">
        <is>
          <t>PLA Basic</t>
        </is>
      </c>
      <c r="C67" s="91" t="n">
        <v>0</v>
      </c>
      <c r="D67" s="91" t="n">
        <v>0</v>
      </c>
      <c r="E67" s="91" t="n">
        <v>0</v>
      </c>
      <c r="F67" s="53">
        <f>C67+D67-E67</f>
        <v/>
      </c>
      <c r="G67" s="54">
        <f>F67/1000</f>
        <v/>
      </c>
      <c r="H67" s="55">
        <f>IF(F67&lt;200,"⚠️ BAIXO",IF(F67&lt;500,"📦 OK","✅ CHEIO"))</f>
        <v/>
      </c>
    </row>
    <row r="68" ht="18" customHeight="1" s="109">
      <c r="A68" s="19" t="inlineStr">
        <is>
          <t>Bambu Lab | PLA Basic | Coral</t>
        </is>
      </c>
      <c r="B68" s="46" t="inlineStr">
        <is>
          <t>PLA Basic</t>
        </is>
      </c>
      <c r="C68" s="91" t="n">
        <v>0</v>
      </c>
      <c r="D68" s="91" t="n">
        <v>0</v>
      </c>
      <c r="E68" s="91" t="n">
        <v>0</v>
      </c>
      <c r="F68" s="53">
        <f>C68+D68-E68</f>
        <v/>
      </c>
      <c r="G68" s="54">
        <f>F68/1000</f>
        <v/>
      </c>
      <c r="H68" s="55">
        <f>IF(F68&lt;200,"⚠️ BAIXO",IF(F68&lt;500,"📦 OK","✅ CHEIO"))</f>
        <v/>
      </c>
    </row>
    <row r="69" ht="18" customHeight="1" s="109">
      <c r="A69" s="15" t="inlineStr">
        <is>
          <t>Bambu Lab | PLA Basic | Creme</t>
        </is>
      </c>
      <c r="B69" s="33" t="inlineStr">
        <is>
          <t>PLA Basic</t>
        </is>
      </c>
      <c r="C69" s="91" t="n">
        <v>0</v>
      </c>
      <c r="D69" s="91" t="n">
        <v>0</v>
      </c>
      <c r="E69" s="91" t="n">
        <v>0</v>
      </c>
      <c r="F69" s="53">
        <f>C69+D69-E69</f>
        <v/>
      </c>
      <c r="G69" s="54">
        <f>F69/1000</f>
        <v/>
      </c>
      <c r="H69" s="55">
        <f>IF(F69&lt;200,"⚠️ BAIXO",IF(F69&lt;500,"📦 OK","✅ CHEIO"))</f>
        <v/>
      </c>
    </row>
    <row r="70" ht="18" customHeight="1" s="109">
      <c r="A70" s="19" t="inlineStr">
        <is>
          <t>Bambu Lab | PLA Basic | Lavanda</t>
        </is>
      </c>
      <c r="B70" s="46" t="inlineStr">
        <is>
          <t>PLA Basic</t>
        </is>
      </c>
      <c r="C70" s="91" t="n">
        <v>0</v>
      </c>
      <c r="D70" s="91" t="n">
        <v>0</v>
      </c>
      <c r="E70" s="91" t="n">
        <v>0</v>
      </c>
      <c r="F70" s="53">
        <f>C70+D70-E70</f>
        <v/>
      </c>
      <c r="G70" s="54">
        <f>F70/1000</f>
        <v/>
      </c>
      <c r="H70" s="55">
        <f>IF(F70&lt;200,"⚠️ BAIXO",IF(F70&lt;500,"📦 OK","✅ CHEIO"))</f>
        <v/>
      </c>
    </row>
    <row r="71" ht="18" customHeight="1" s="109">
      <c r="A71" s="15" t="inlineStr">
        <is>
          <t>Bambu Lab | PLA Matte | Preto Fosco</t>
        </is>
      </c>
      <c r="B71" s="33" t="inlineStr">
        <is>
          <t>PLA Matte</t>
        </is>
      </c>
      <c r="C71" s="91" t="n">
        <v>0</v>
      </c>
      <c r="D71" s="91" t="n">
        <v>0</v>
      </c>
      <c r="E71" s="91" t="n">
        <v>0</v>
      </c>
      <c r="F71" s="53">
        <f>C71+D71-E71</f>
        <v/>
      </c>
      <c r="G71" s="54">
        <f>F71/1000</f>
        <v/>
      </c>
      <c r="H71" s="55">
        <f>IF(F71&lt;200,"⚠️ BAIXO",IF(F71&lt;500,"📦 OK","✅ CHEIO"))</f>
        <v/>
      </c>
    </row>
    <row r="72" ht="18" customHeight="1" s="109">
      <c r="A72" s="19" t="inlineStr">
        <is>
          <t>Bambu Lab | PLA Matte | Branco Fosco</t>
        </is>
      </c>
      <c r="B72" s="46" t="inlineStr">
        <is>
          <t>PLA Matte</t>
        </is>
      </c>
      <c r="C72" s="91" t="n">
        <v>0</v>
      </c>
      <c r="D72" s="91" t="n">
        <v>0</v>
      </c>
      <c r="E72" s="91" t="n">
        <v>0</v>
      </c>
      <c r="F72" s="53">
        <f>C72+D72-E72</f>
        <v/>
      </c>
      <c r="G72" s="54">
        <f>F72/1000</f>
        <v/>
      </c>
      <c r="H72" s="55">
        <f>IF(F72&lt;200,"⚠️ BAIXO",IF(F72&lt;500,"📦 OK","✅ CHEIO"))</f>
        <v/>
      </c>
    </row>
    <row r="73" ht="18" customHeight="1" s="109">
      <c r="A73" s="15" t="inlineStr">
        <is>
          <t>Bambu Lab | PLA Matte | Cinza Fosco</t>
        </is>
      </c>
      <c r="B73" s="33" t="inlineStr">
        <is>
          <t>PLA Matte</t>
        </is>
      </c>
      <c r="C73" s="91" t="n">
        <v>0</v>
      </c>
      <c r="D73" s="91" t="n">
        <v>0</v>
      </c>
      <c r="E73" s="91" t="n">
        <v>0</v>
      </c>
      <c r="F73" s="53">
        <f>C73+D73-E73</f>
        <v/>
      </c>
      <c r="G73" s="54">
        <f>F73/1000</f>
        <v/>
      </c>
      <c r="H73" s="55">
        <f>IF(F73&lt;200,"⚠️ BAIXO",IF(F73&lt;500,"📦 OK","✅ CHEIO"))</f>
        <v/>
      </c>
    </row>
    <row r="74" ht="18" customHeight="1" s="109">
      <c r="A74" s="19" t="inlineStr">
        <is>
          <t>Bambu Lab | PLA Matte | Azul Fosco</t>
        </is>
      </c>
      <c r="B74" s="46" t="inlineStr">
        <is>
          <t>PLA Matte</t>
        </is>
      </c>
      <c r="C74" s="91" t="n">
        <v>0</v>
      </c>
      <c r="D74" s="91" t="n">
        <v>0</v>
      </c>
      <c r="E74" s="91" t="n">
        <v>0</v>
      </c>
      <c r="F74" s="53">
        <f>C74+D74-E74</f>
        <v/>
      </c>
      <c r="G74" s="54">
        <f>F74/1000</f>
        <v/>
      </c>
      <c r="H74" s="55">
        <f>IF(F74&lt;200,"⚠️ BAIXO",IF(F74&lt;500,"📦 OK","✅ CHEIO"))</f>
        <v/>
      </c>
    </row>
    <row r="75" ht="18" customHeight="1" s="109">
      <c r="A75" s="15" t="inlineStr">
        <is>
          <t>Bambu Lab | PLA Matte | Verde Fosco</t>
        </is>
      </c>
      <c r="B75" s="33" t="inlineStr">
        <is>
          <t>PLA Matte</t>
        </is>
      </c>
      <c r="C75" s="91" t="n">
        <v>0</v>
      </c>
      <c r="D75" s="91" t="n">
        <v>0</v>
      </c>
      <c r="E75" s="91" t="n">
        <v>0</v>
      </c>
      <c r="F75" s="53">
        <f>C75+D75-E75</f>
        <v/>
      </c>
      <c r="G75" s="54">
        <f>F75/1000</f>
        <v/>
      </c>
      <c r="H75" s="55">
        <f>IF(F75&lt;200,"⚠️ BAIXO",IF(F75&lt;500,"📦 OK","✅ CHEIO"))</f>
        <v/>
      </c>
    </row>
    <row r="76" ht="18" customHeight="1" s="109">
      <c r="A76" s="19" t="inlineStr">
        <is>
          <t>Bambu Lab | PLA Matte | Vermelho Fosco</t>
        </is>
      </c>
      <c r="B76" s="46" t="inlineStr">
        <is>
          <t>PLA Matte</t>
        </is>
      </c>
      <c r="C76" s="91" t="n">
        <v>0</v>
      </c>
      <c r="D76" s="91" t="n">
        <v>0</v>
      </c>
      <c r="E76" s="91" t="n">
        <v>0</v>
      </c>
      <c r="F76" s="53">
        <f>C76+D76-E76</f>
        <v/>
      </c>
      <c r="G76" s="54">
        <f>F76/1000</f>
        <v/>
      </c>
      <c r="H76" s="55">
        <f>IF(F76&lt;200,"⚠️ BAIXO",IF(F76&lt;500,"📦 OK","✅ CHEIO"))</f>
        <v/>
      </c>
    </row>
    <row r="77" ht="18" customHeight="1" s="109">
      <c r="A77" s="15" t="inlineStr">
        <is>
          <t>Bambu Lab | PLA Matte | Amarelo Fosco</t>
        </is>
      </c>
      <c r="B77" s="33" t="inlineStr">
        <is>
          <t>PLA Matte</t>
        </is>
      </c>
      <c r="C77" s="91" t="n">
        <v>0</v>
      </c>
      <c r="D77" s="91" t="n">
        <v>0</v>
      </c>
      <c r="E77" s="91" t="n">
        <v>0</v>
      </c>
      <c r="F77" s="53">
        <f>C77+D77-E77</f>
        <v/>
      </c>
      <c r="G77" s="54">
        <f>F77/1000</f>
        <v/>
      </c>
      <c r="H77" s="55">
        <f>IF(F77&lt;200,"⚠️ BAIXO",IF(F77&lt;500,"📦 OK","✅ CHEIO"))</f>
        <v/>
      </c>
    </row>
    <row r="78" ht="18" customHeight="1" s="109">
      <c r="A78" s="19" t="inlineStr">
        <is>
          <t>Bambu Lab | PLA Matte | Roxo Fosco</t>
        </is>
      </c>
      <c r="B78" s="46" t="inlineStr">
        <is>
          <t>PLA Matte</t>
        </is>
      </c>
      <c r="C78" s="91" t="n">
        <v>0</v>
      </c>
      <c r="D78" s="91" t="n">
        <v>0</v>
      </c>
      <c r="E78" s="91" t="n">
        <v>0</v>
      </c>
      <c r="F78" s="53">
        <f>C78+D78-E78</f>
        <v/>
      </c>
      <c r="G78" s="54">
        <f>F78/1000</f>
        <v/>
      </c>
      <c r="H78" s="55">
        <f>IF(F78&lt;200,"⚠️ BAIXO",IF(F78&lt;500,"📦 OK","✅ CHEIO"))</f>
        <v/>
      </c>
    </row>
    <row r="79" ht="18" customHeight="1" s="109">
      <c r="A79" s="15" t="inlineStr">
        <is>
          <t>Bambu Lab | PLA Matte | Rosa Fosco</t>
        </is>
      </c>
      <c r="B79" s="33" t="inlineStr">
        <is>
          <t>PLA Matte</t>
        </is>
      </c>
      <c r="C79" s="91" t="n">
        <v>0</v>
      </c>
      <c r="D79" s="91" t="n">
        <v>0</v>
      </c>
      <c r="E79" s="91" t="n">
        <v>0</v>
      </c>
      <c r="F79" s="53">
        <f>C79+D79-E79</f>
        <v/>
      </c>
      <c r="G79" s="54">
        <f>F79/1000</f>
        <v/>
      </c>
      <c r="H79" s="55">
        <f>IF(F79&lt;200,"⚠️ BAIXO",IF(F79&lt;500,"📦 OK","✅ CHEIO"))</f>
        <v/>
      </c>
    </row>
    <row r="80" ht="18" customHeight="1" s="109">
      <c r="A80" s="19" t="inlineStr">
        <is>
          <t>Bambu Lab | PLA Matte | Bege Fosco</t>
        </is>
      </c>
      <c r="B80" s="46" t="inlineStr">
        <is>
          <t>PLA Matte</t>
        </is>
      </c>
      <c r="C80" s="91" t="n">
        <v>0</v>
      </c>
      <c r="D80" s="91" t="n">
        <v>0</v>
      </c>
      <c r="E80" s="91" t="n">
        <v>0</v>
      </c>
      <c r="F80" s="53">
        <f>C80+D80-E80</f>
        <v/>
      </c>
      <c r="G80" s="54">
        <f>F80/1000</f>
        <v/>
      </c>
      <c r="H80" s="55">
        <f>IF(F80&lt;200,"⚠️ BAIXO",IF(F80&lt;500,"📦 OK","✅ CHEIO"))</f>
        <v/>
      </c>
    </row>
    <row r="81" ht="18" customHeight="1" s="109">
      <c r="A81" s="15" t="inlineStr">
        <is>
          <t>Bambu Lab | PLA Matte | Terracota</t>
        </is>
      </c>
      <c r="B81" s="33" t="inlineStr">
        <is>
          <t>PLA Matte</t>
        </is>
      </c>
      <c r="C81" s="91" t="n">
        <v>0</v>
      </c>
      <c r="D81" s="91" t="n">
        <v>0</v>
      </c>
      <c r="E81" s="91" t="n">
        <v>0</v>
      </c>
      <c r="F81" s="53">
        <f>C81+D81-E81</f>
        <v/>
      </c>
      <c r="G81" s="54">
        <f>F81/1000</f>
        <v/>
      </c>
      <c r="H81" s="55">
        <f>IF(F81&lt;200,"⚠️ BAIXO",IF(F81&lt;500,"📦 OK","✅ CHEIO"))</f>
        <v/>
      </c>
    </row>
    <row r="82" ht="18" customHeight="1" s="109">
      <c r="A82" s="19" t="inlineStr">
        <is>
          <t>Bambu Lab | PLA Matte | Esmeralda</t>
        </is>
      </c>
      <c r="B82" s="46" t="inlineStr">
        <is>
          <t>PLA Matte</t>
        </is>
      </c>
      <c r="C82" s="91" t="n">
        <v>0</v>
      </c>
      <c r="D82" s="91" t="n">
        <v>0</v>
      </c>
      <c r="E82" s="91" t="n">
        <v>0</v>
      </c>
      <c r="F82" s="53">
        <f>C82+D82-E82</f>
        <v/>
      </c>
      <c r="G82" s="54">
        <f>F82/1000</f>
        <v/>
      </c>
      <c r="H82" s="55">
        <f>IF(F82&lt;200,"⚠️ BAIXO",IF(F82&lt;500,"📦 OK","✅ CHEIO"))</f>
        <v/>
      </c>
    </row>
    <row r="83" ht="18" customHeight="1" s="109">
      <c r="A83" s="15" t="inlineStr">
        <is>
          <t>Bambu Lab | PLA Silk+ | Dourado</t>
        </is>
      </c>
      <c r="B83" s="33" t="inlineStr">
        <is>
          <t>PLA Silk+</t>
        </is>
      </c>
      <c r="C83" s="91" t="n">
        <v>0</v>
      </c>
      <c r="D83" s="91" t="n">
        <v>0</v>
      </c>
      <c r="E83" s="91" t="n">
        <v>0</v>
      </c>
      <c r="F83" s="53">
        <f>C83+D83-E83</f>
        <v/>
      </c>
      <c r="G83" s="54">
        <f>F83/1000</f>
        <v/>
      </c>
      <c r="H83" s="55">
        <f>IF(F83&lt;200,"⚠️ BAIXO",IF(F83&lt;500,"📦 OK","✅ CHEIO"))</f>
        <v/>
      </c>
    </row>
    <row r="84" ht="18" customHeight="1" s="109">
      <c r="A84" s="19" t="inlineStr">
        <is>
          <t>Bambu Lab | PLA Silk+ | Prata</t>
        </is>
      </c>
      <c r="B84" s="46" t="inlineStr">
        <is>
          <t>PLA Silk+</t>
        </is>
      </c>
      <c r="C84" s="91" t="n">
        <v>0</v>
      </c>
      <c r="D84" s="91" t="n">
        <v>0</v>
      </c>
      <c r="E84" s="91" t="n">
        <v>0</v>
      </c>
      <c r="F84" s="53">
        <f>C84+D84-E84</f>
        <v/>
      </c>
      <c r="G84" s="54">
        <f>F84/1000</f>
        <v/>
      </c>
      <c r="H84" s="55">
        <f>IF(F84&lt;200,"⚠️ BAIXO",IF(F84&lt;500,"📦 OK","✅ CHEIO"))</f>
        <v/>
      </c>
    </row>
    <row r="85" ht="18" customHeight="1" s="109">
      <c r="A85" s="15" t="inlineStr">
        <is>
          <t>Bambu Lab | PLA Silk+ | Cobre</t>
        </is>
      </c>
      <c r="B85" s="33" t="inlineStr">
        <is>
          <t>PLA Silk+</t>
        </is>
      </c>
      <c r="C85" s="91" t="n">
        <v>0</v>
      </c>
      <c r="D85" s="91" t="n">
        <v>0</v>
      </c>
      <c r="E85" s="91" t="n">
        <v>0</v>
      </c>
      <c r="F85" s="53">
        <f>C85+D85-E85</f>
        <v/>
      </c>
      <c r="G85" s="54">
        <f>F85/1000</f>
        <v/>
      </c>
      <c r="H85" s="55">
        <f>IF(F85&lt;200,"⚠️ BAIXO",IF(F85&lt;500,"📦 OK","✅ CHEIO"))</f>
        <v/>
      </c>
    </row>
    <row r="86" ht="18" customHeight="1" s="109">
      <c r="A86" s="19" t="inlineStr">
        <is>
          <t>Bambu Lab | PLA Silk+ | Vermelho Silk</t>
        </is>
      </c>
      <c r="B86" s="46" t="inlineStr">
        <is>
          <t>PLA Silk+</t>
        </is>
      </c>
      <c r="C86" s="91" t="n">
        <v>0</v>
      </c>
      <c r="D86" s="91" t="n">
        <v>0</v>
      </c>
      <c r="E86" s="91" t="n">
        <v>0</v>
      </c>
      <c r="F86" s="53">
        <f>C86+D86-E86</f>
        <v/>
      </c>
      <c r="G86" s="54">
        <f>F86/1000</f>
        <v/>
      </c>
      <c r="H86" s="55">
        <f>IF(F86&lt;200,"⚠️ BAIXO",IF(F86&lt;500,"📦 OK","✅ CHEIO"))</f>
        <v/>
      </c>
    </row>
    <row r="87" ht="18" customHeight="1" s="109">
      <c r="A87" s="15" t="inlineStr">
        <is>
          <t>Bambu Lab | PLA Silk+ | Azul Silk</t>
        </is>
      </c>
      <c r="B87" s="33" t="inlineStr">
        <is>
          <t>PLA Silk+</t>
        </is>
      </c>
      <c r="C87" s="91" t="n">
        <v>0</v>
      </c>
      <c r="D87" s="91" t="n">
        <v>0</v>
      </c>
      <c r="E87" s="91" t="n">
        <v>0</v>
      </c>
      <c r="F87" s="53">
        <f>C87+D87-E87</f>
        <v/>
      </c>
      <c r="G87" s="54">
        <f>F87/1000</f>
        <v/>
      </c>
      <c r="H87" s="55">
        <f>IF(F87&lt;200,"⚠️ BAIXO",IF(F87&lt;500,"📦 OK","✅ CHEIO"))</f>
        <v/>
      </c>
    </row>
    <row r="88" ht="18" customHeight="1" s="109">
      <c r="A88" s="19" t="inlineStr">
        <is>
          <t>Bambu Lab | PLA Silk+ | Verde Silk</t>
        </is>
      </c>
      <c r="B88" s="46" t="inlineStr">
        <is>
          <t>PLA Silk+</t>
        </is>
      </c>
      <c r="C88" s="91" t="n">
        <v>0</v>
      </c>
      <c r="D88" s="91" t="n">
        <v>0</v>
      </c>
      <c r="E88" s="91" t="n">
        <v>0</v>
      </c>
      <c r="F88" s="53">
        <f>C88+D88-E88</f>
        <v/>
      </c>
      <c r="G88" s="54">
        <f>F88/1000</f>
        <v/>
      </c>
      <c r="H88" s="55">
        <f>IF(F88&lt;200,"⚠️ BAIXO",IF(F88&lt;500,"📦 OK","✅ CHEIO"))</f>
        <v/>
      </c>
    </row>
    <row r="89" ht="18" customHeight="1" s="109">
      <c r="A89" s="15" t="inlineStr">
        <is>
          <t>Bambu Lab | PLA Silk+ | Roxo Silk</t>
        </is>
      </c>
      <c r="B89" s="33" t="inlineStr">
        <is>
          <t>PLA Silk+</t>
        </is>
      </c>
      <c r="C89" s="91" t="n">
        <v>0</v>
      </c>
      <c r="D89" s="91" t="n">
        <v>0</v>
      </c>
      <c r="E89" s="91" t="n">
        <v>0</v>
      </c>
      <c r="F89" s="53">
        <f>C89+D89-E89</f>
        <v/>
      </c>
      <c r="G89" s="54">
        <f>F89/1000</f>
        <v/>
      </c>
      <c r="H89" s="55">
        <f>IF(F89&lt;200,"⚠️ BAIXO",IF(F89&lt;500,"📦 OK","✅ CHEIO"))</f>
        <v/>
      </c>
    </row>
    <row r="90" ht="18" customHeight="1" s="109">
      <c r="A90" s="19" t="inlineStr">
        <is>
          <t>Bambu Lab | PLA Silk+ | Rosa Silk</t>
        </is>
      </c>
      <c r="B90" s="46" t="inlineStr">
        <is>
          <t>PLA Silk+</t>
        </is>
      </c>
      <c r="C90" s="91" t="n">
        <v>0</v>
      </c>
      <c r="D90" s="91" t="n">
        <v>0</v>
      </c>
      <c r="E90" s="91" t="n">
        <v>0</v>
      </c>
      <c r="F90" s="53">
        <f>C90+D90-E90</f>
        <v/>
      </c>
      <c r="G90" s="54">
        <f>F90/1000</f>
        <v/>
      </c>
      <c r="H90" s="55">
        <f>IF(F90&lt;200,"⚠️ BAIXO",IF(F90&lt;500,"📦 OK","✅ CHEIO"))</f>
        <v/>
      </c>
    </row>
    <row r="91" ht="18" customHeight="1" s="109">
      <c r="A91" s="15" t="inlineStr">
        <is>
          <t>Bambu Lab | PLA Silk Multi-Color | Arco-Íris</t>
        </is>
      </c>
      <c r="B91" s="33" t="inlineStr">
        <is>
          <t>PLA Silk Multi-Color</t>
        </is>
      </c>
      <c r="C91" s="91" t="n">
        <v>0</v>
      </c>
      <c r="D91" s="91" t="n">
        <v>0</v>
      </c>
      <c r="E91" s="91" t="n">
        <v>0</v>
      </c>
      <c r="F91" s="53">
        <f>C91+D91-E91</f>
        <v/>
      </c>
      <c r="G91" s="54">
        <f>F91/1000</f>
        <v/>
      </c>
      <c r="H91" s="55">
        <f>IF(F91&lt;200,"⚠️ BAIXO",IF(F91&lt;500,"📦 OK","✅ CHEIO"))</f>
        <v/>
      </c>
    </row>
    <row r="92" ht="18" customHeight="1" s="109">
      <c r="A92" s="19" t="inlineStr">
        <is>
          <t>Bambu Lab | PLA Silk Multi-Color | Oceano</t>
        </is>
      </c>
      <c r="B92" s="46" t="inlineStr">
        <is>
          <t>PLA Silk Multi-Color</t>
        </is>
      </c>
      <c r="C92" s="91" t="n">
        <v>0</v>
      </c>
      <c r="D92" s="91" t="n">
        <v>0</v>
      </c>
      <c r="E92" s="91" t="n">
        <v>0</v>
      </c>
      <c r="F92" s="53">
        <f>C92+D92-E92</f>
        <v/>
      </c>
      <c r="G92" s="54">
        <f>F92/1000</f>
        <v/>
      </c>
      <c r="H92" s="55">
        <f>IF(F92&lt;200,"⚠️ BAIXO",IF(F92&lt;500,"📦 OK","✅ CHEIO"))</f>
        <v/>
      </c>
    </row>
    <row r="93" ht="18" customHeight="1" s="109">
      <c r="A93" s="15" t="inlineStr">
        <is>
          <t>Bambu Lab | PLA Silk Multi-Color | Floresta</t>
        </is>
      </c>
      <c r="B93" s="33" t="inlineStr">
        <is>
          <t>PLA Silk Multi-Color</t>
        </is>
      </c>
      <c r="C93" s="91" t="n">
        <v>0</v>
      </c>
      <c r="D93" s="91" t="n">
        <v>0</v>
      </c>
      <c r="E93" s="91" t="n">
        <v>0</v>
      </c>
      <c r="F93" s="53">
        <f>C93+D93-E93</f>
        <v/>
      </c>
      <c r="G93" s="54">
        <f>F93/1000</f>
        <v/>
      </c>
      <c r="H93" s="55">
        <f>IF(F93&lt;200,"⚠️ BAIXO",IF(F93&lt;500,"📦 OK","✅ CHEIO"))</f>
        <v/>
      </c>
    </row>
    <row r="94" ht="18" customHeight="1" s="109">
      <c r="A94" s="19" t="inlineStr">
        <is>
          <t>Bambu Lab | PLA Silk Multi-Color | Pôr do Sol</t>
        </is>
      </c>
      <c r="B94" s="46" t="inlineStr">
        <is>
          <t>PLA Silk Multi-Color</t>
        </is>
      </c>
      <c r="C94" s="91" t="n">
        <v>0</v>
      </c>
      <c r="D94" s="91" t="n">
        <v>0</v>
      </c>
      <c r="E94" s="91" t="n">
        <v>0</v>
      </c>
      <c r="F94" s="53">
        <f>C94+D94-E94</f>
        <v/>
      </c>
      <c r="G94" s="54">
        <f>F94/1000</f>
        <v/>
      </c>
      <c r="H94" s="55">
        <f>IF(F94&lt;200,"⚠️ BAIXO",IF(F94&lt;500,"📦 OK","✅ CHEIO"))</f>
        <v/>
      </c>
    </row>
    <row r="95" ht="18" customHeight="1" s="109">
      <c r="A95" s="15" t="inlineStr">
        <is>
          <t>Bambu Lab | PLA-CF | Preto</t>
        </is>
      </c>
      <c r="B95" s="33" t="inlineStr">
        <is>
          <t>PLA-CF</t>
        </is>
      </c>
      <c r="C95" s="91" t="n">
        <v>0</v>
      </c>
      <c r="D95" s="91" t="n">
        <v>0</v>
      </c>
      <c r="E95" s="91" t="n">
        <v>0</v>
      </c>
      <c r="F95" s="53">
        <f>C95+D95-E95</f>
        <v/>
      </c>
      <c r="G95" s="54">
        <f>F95/1000</f>
        <v/>
      </c>
      <c r="H95" s="55">
        <f>IF(F95&lt;200,"⚠️ BAIXO",IF(F95&lt;500,"📦 OK","✅ CHEIO"))</f>
        <v/>
      </c>
    </row>
    <row r="96" ht="18" customHeight="1" s="109">
      <c r="A96" s="19" t="inlineStr">
        <is>
          <t>Bambu Lab | PLA-CF | Cinza Lava</t>
        </is>
      </c>
      <c r="B96" s="46" t="inlineStr">
        <is>
          <t>PLA-CF</t>
        </is>
      </c>
      <c r="C96" s="91" t="n">
        <v>0</v>
      </c>
      <c r="D96" s="91" t="n">
        <v>0</v>
      </c>
      <c r="E96" s="91" t="n">
        <v>0</v>
      </c>
      <c r="F96" s="53">
        <f>C96+D96-E96</f>
        <v/>
      </c>
      <c r="G96" s="54">
        <f>F96/1000</f>
        <v/>
      </c>
      <c r="H96" s="55">
        <f>IF(F96&lt;200,"⚠️ BAIXO",IF(F96&lt;500,"📦 OK","✅ CHEIO"))</f>
        <v/>
      </c>
    </row>
    <row r="97" ht="18" customHeight="1" s="109">
      <c r="A97" s="15" t="inlineStr">
        <is>
          <t>Bambu Lab | PLA-CF | Vermelho Borgonha</t>
        </is>
      </c>
      <c r="B97" s="33" t="inlineStr">
        <is>
          <t>PLA-CF</t>
        </is>
      </c>
      <c r="C97" s="91" t="n">
        <v>0</v>
      </c>
      <c r="D97" s="91" t="n">
        <v>0</v>
      </c>
      <c r="E97" s="91" t="n">
        <v>0</v>
      </c>
      <c r="F97" s="53">
        <f>C97+D97-E97</f>
        <v/>
      </c>
      <c r="G97" s="54">
        <f>F97/1000</f>
        <v/>
      </c>
      <c r="H97" s="55">
        <f>IF(F97&lt;200,"⚠️ BAIXO",IF(F97&lt;500,"📦 OK","✅ CHEIO"))</f>
        <v/>
      </c>
    </row>
    <row r="98" ht="18" customHeight="1" s="109">
      <c r="A98" s="19" t="inlineStr">
        <is>
          <t>Bambu Lab | PLA-CF | Azul Jeans</t>
        </is>
      </c>
      <c r="B98" s="46" t="inlineStr">
        <is>
          <t>PLA-CF</t>
        </is>
      </c>
      <c r="C98" s="91" t="n">
        <v>0</v>
      </c>
      <c r="D98" s="91" t="n">
        <v>0</v>
      </c>
      <c r="E98" s="91" t="n">
        <v>0</v>
      </c>
      <c r="F98" s="53">
        <f>C98+D98-E98</f>
        <v/>
      </c>
      <c r="G98" s="54">
        <f>F98/1000</f>
        <v/>
      </c>
      <c r="H98" s="55">
        <f>IF(F98&lt;200,"⚠️ BAIXO",IF(F98&lt;500,"📦 OK","✅ CHEIO"))</f>
        <v/>
      </c>
    </row>
    <row r="99" ht="18" customHeight="1" s="109">
      <c r="A99" s="15" t="inlineStr">
        <is>
          <t>Bambu Lab | PLA Metal | Dourado Metálico</t>
        </is>
      </c>
      <c r="B99" s="33" t="inlineStr">
        <is>
          <t>PLA Metal</t>
        </is>
      </c>
      <c r="C99" s="91" t="n">
        <v>0</v>
      </c>
      <c r="D99" s="91" t="n">
        <v>0</v>
      </c>
      <c r="E99" s="91" t="n">
        <v>0</v>
      </c>
      <c r="F99" s="53">
        <f>C99+D99-E99</f>
        <v/>
      </c>
      <c r="G99" s="54">
        <f>F99/1000</f>
        <v/>
      </c>
      <c r="H99" s="55">
        <f>IF(F99&lt;200,"⚠️ BAIXO",IF(F99&lt;500,"📦 OK","✅ CHEIO"))</f>
        <v/>
      </c>
    </row>
    <row r="100" ht="18" customHeight="1" s="109">
      <c r="A100" s="19" t="inlineStr">
        <is>
          <t>Bambu Lab | PLA Metal | Prata Metálico</t>
        </is>
      </c>
      <c r="B100" s="46" t="inlineStr">
        <is>
          <t>PLA Metal</t>
        </is>
      </c>
      <c r="C100" s="91" t="n">
        <v>0</v>
      </c>
      <c r="D100" s="91" t="n">
        <v>0</v>
      </c>
      <c r="E100" s="91" t="n">
        <v>0</v>
      </c>
      <c r="F100" s="53">
        <f>C100+D100-E100</f>
        <v/>
      </c>
      <c r="G100" s="54">
        <f>F100/1000</f>
        <v/>
      </c>
      <c r="H100" s="55">
        <f>IF(F100&lt;200,"⚠️ BAIXO",IF(F100&lt;500,"📦 OK","✅ CHEIO"))</f>
        <v/>
      </c>
    </row>
    <row r="101" ht="18" customHeight="1" s="109">
      <c r="A101" s="15" t="inlineStr">
        <is>
          <t>Bambu Lab | PLA Metal | Cobre Metálico</t>
        </is>
      </c>
      <c r="B101" s="33" t="inlineStr">
        <is>
          <t>PLA Metal</t>
        </is>
      </c>
      <c r="C101" s="91" t="n">
        <v>0</v>
      </c>
      <c r="D101" s="91" t="n">
        <v>0</v>
      </c>
      <c r="E101" s="91" t="n">
        <v>0</v>
      </c>
      <c r="F101" s="53">
        <f>C101+D101-E101</f>
        <v/>
      </c>
      <c r="G101" s="54">
        <f>F101/1000</f>
        <v/>
      </c>
      <c r="H101" s="55">
        <f>IF(F101&lt;200,"⚠️ BAIXO",IF(F101&lt;500,"📦 OK","✅ CHEIO"))</f>
        <v/>
      </c>
    </row>
    <row r="102" ht="18" customHeight="1" s="109">
      <c r="A102" s="19" t="inlineStr">
        <is>
          <t>Bambu Lab | PLA Metal | Titânio</t>
        </is>
      </c>
      <c r="B102" s="46" t="inlineStr">
        <is>
          <t>PLA Metal</t>
        </is>
      </c>
      <c r="C102" s="91" t="n">
        <v>0</v>
      </c>
      <c r="D102" s="91" t="n">
        <v>0</v>
      </c>
      <c r="E102" s="91" t="n">
        <v>0</v>
      </c>
      <c r="F102" s="53">
        <f>C102+D102-E102</f>
        <v/>
      </c>
      <c r="G102" s="54">
        <f>F102/1000</f>
        <v/>
      </c>
      <c r="H102" s="55">
        <f>IF(F102&lt;200,"⚠️ BAIXO",IF(F102&lt;500,"📦 OK","✅ CHEIO"))</f>
        <v/>
      </c>
    </row>
    <row r="103" ht="18" customHeight="1" s="109">
      <c r="A103" s="15" t="inlineStr">
        <is>
          <t>Bambu Lab | PLA Marble | Mármore Branco</t>
        </is>
      </c>
      <c r="B103" s="33" t="inlineStr">
        <is>
          <t>PLA Marble</t>
        </is>
      </c>
      <c r="C103" s="91" t="n">
        <v>0</v>
      </c>
      <c r="D103" s="91" t="n">
        <v>0</v>
      </c>
      <c r="E103" s="91" t="n">
        <v>0</v>
      </c>
      <c r="F103" s="53">
        <f>C103+D103-E103</f>
        <v/>
      </c>
      <c r="G103" s="54">
        <f>F103/1000</f>
        <v/>
      </c>
      <c r="H103" s="55">
        <f>IF(F103&lt;200,"⚠️ BAIXO",IF(F103&lt;500,"📦 OK","✅ CHEIO"))</f>
        <v/>
      </c>
    </row>
    <row r="104" ht="18" customHeight="1" s="109">
      <c r="A104" s="19" t="inlineStr">
        <is>
          <t>Bambu Lab | PLA Marble | Mármore Cinza</t>
        </is>
      </c>
      <c r="B104" s="46" t="inlineStr">
        <is>
          <t>PLA Marble</t>
        </is>
      </c>
      <c r="C104" s="91" t="n">
        <v>0</v>
      </c>
      <c r="D104" s="91" t="n">
        <v>0</v>
      </c>
      <c r="E104" s="91" t="n">
        <v>0</v>
      </c>
      <c r="F104" s="53">
        <f>C104+D104-E104</f>
        <v/>
      </c>
      <c r="G104" s="54">
        <f>F104/1000</f>
        <v/>
      </c>
      <c r="H104" s="55">
        <f>IF(F104&lt;200,"⚠️ BAIXO",IF(F104&lt;500,"📦 OK","✅ CHEIO"))</f>
        <v/>
      </c>
    </row>
    <row r="105" ht="18" customHeight="1" s="109">
      <c r="A105" s="15" t="inlineStr">
        <is>
          <t>Bambu Lab | PLA Marble | Mármore Preto</t>
        </is>
      </c>
      <c r="B105" s="33" t="inlineStr">
        <is>
          <t>PLA Marble</t>
        </is>
      </c>
      <c r="C105" s="91" t="n">
        <v>0</v>
      </c>
      <c r="D105" s="91" t="n">
        <v>0</v>
      </c>
      <c r="E105" s="91" t="n">
        <v>0</v>
      </c>
      <c r="F105" s="53">
        <f>C105+D105-E105</f>
        <v/>
      </c>
      <c r="G105" s="54">
        <f>F105/1000</f>
        <v/>
      </c>
      <c r="H105" s="55">
        <f>IF(F105&lt;200,"⚠️ BAIXO",IF(F105&lt;500,"📦 OK","✅ CHEIO"))</f>
        <v/>
      </c>
    </row>
    <row r="106" ht="18" customHeight="1" s="109">
      <c r="A106" s="19" t="inlineStr">
        <is>
          <t>Bambu Lab | PLA Glow | Verde Brilhante</t>
        </is>
      </c>
      <c r="B106" s="46" t="inlineStr">
        <is>
          <t>PLA Glow</t>
        </is>
      </c>
      <c r="C106" s="91" t="n">
        <v>0</v>
      </c>
      <c r="D106" s="91" t="n">
        <v>0</v>
      </c>
      <c r="E106" s="91" t="n">
        <v>0</v>
      </c>
      <c r="F106" s="53">
        <f>C106+D106-E106</f>
        <v/>
      </c>
      <c r="G106" s="54">
        <f>F106/1000</f>
        <v/>
      </c>
      <c r="H106" s="55">
        <f>IF(F106&lt;200,"⚠️ BAIXO",IF(F106&lt;500,"📦 OK","✅ CHEIO"))</f>
        <v/>
      </c>
    </row>
    <row r="107" ht="18" customHeight="1" s="109">
      <c r="A107" s="15" t="inlineStr">
        <is>
          <t>Bambu Lab | PLA Glow | Azul Brilhante</t>
        </is>
      </c>
      <c r="B107" s="33" t="inlineStr">
        <is>
          <t>PLA Glow</t>
        </is>
      </c>
      <c r="C107" s="91" t="n">
        <v>0</v>
      </c>
      <c r="D107" s="91" t="n">
        <v>0</v>
      </c>
      <c r="E107" s="91" t="n">
        <v>0</v>
      </c>
      <c r="F107" s="53">
        <f>C107+D107-E107</f>
        <v/>
      </c>
      <c r="G107" s="54">
        <f>F107/1000</f>
        <v/>
      </c>
      <c r="H107" s="55">
        <f>IF(F107&lt;200,"⚠️ BAIXO",IF(F107&lt;500,"📦 OK","✅ CHEIO"))</f>
        <v/>
      </c>
    </row>
    <row r="108" ht="18" customHeight="1" s="109">
      <c r="A108" s="19" t="inlineStr">
        <is>
          <t>Bambu Lab | PLA Sparkle | Preto Brilhante</t>
        </is>
      </c>
      <c r="B108" s="46" t="inlineStr">
        <is>
          <t>PLA Sparkle</t>
        </is>
      </c>
      <c r="C108" s="91" t="n">
        <v>0</v>
      </c>
      <c r="D108" s="91" t="n">
        <v>0</v>
      </c>
      <c r="E108" s="91" t="n">
        <v>0</v>
      </c>
      <c r="F108" s="53">
        <f>C108+D108-E108</f>
        <v/>
      </c>
      <c r="G108" s="54">
        <f>F108/1000</f>
        <v/>
      </c>
      <c r="H108" s="55">
        <f>IF(F108&lt;200,"⚠️ BAIXO",IF(F108&lt;500,"📦 OK","✅ CHEIO"))</f>
        <v/>
      </c>
    </row>
    <row r="109" ht="18" customHeight="1" s="109">
      <c r="A109" s="15" t="inlineStr">
        <is>
          <t>Bambu Lab | PLA Sparkle | Azul Brilhante</t>
        </is>
      </c>
      <c r="B109" s="33" t="inlineStr">
        <is>
          <t>PLA Sparkle</t>
        </is>
      </c>
      <c r="C109" s="91" t="n">
        <v>0</v>
      </c>
      <c r="D109" s="91" t="n">
        <v>0</v>
      </c>
      <c r="E109" s="91" t="n">
        <v>0</v>
      </c>
      <c r="F109" s="53">
        <f>C109+D109-E109</f>
        <v/>
      </c>
      <c r="G109" s="54">
        <f>F109/1000</f>
        <v/>
      </c>
      <c r="H109" s="55">
        <f>IF(F109&lt;200,"⚠️ BAIXO",IF(F109&lt;500,"📦 OK","✅ CHEIO"))</f>
        <v/>
      </c>
    </row>
    <row r="110" ht="18" customHeight="1" s="109">
      <c r="A110" s="19" t="inlineStr">
        <is>
          <t>Bambu Lab | PLA Sparkle | Roxo Brilhante</t>
        </is>
      </c>
      <c r="B110" s="46" t="inlineStr">
        <is>
          <t>PLA Sparkle</t>
        </is>
      </c>
      <c r="C110" s="91" t="n">
        <v>0</v>
      </c>
      <c r="D110" s="91" t="n">
        <v>0</v>
      </c>
      <c r="E110" s="91" t="n">
        <v>0</v>
      </c>
      <c r="F110" s="53">
        <f>C110+D110-E110</f>
        <v/>
      </c>
      <c r="G110" s="54">
        <f>F110/1000</f>
        <v/>
      </c>
      <c r="H110" s="55">
        <f>IF(F110&lt;200,"⚠️ BAIXO",IF(F110&lt;500,"📦 OK","✅ CHEIO"))</f>
        <v/>
      </c>
    </row>
    <row r="111" ht="18" customHeight="1" s="109">
      <c r="A111" s="15" t="inlineStr">
        <is>
          <t>Bambu Lab | PLA Sparkle | Verde Brilhante</t>
        </is>
      </c>
      <c r="B111" s="33" t="inlineStr">
        <is>
          <t>PLA Sparkle</t>
        </is>
      </c>
      <c r="C111" s="91" t="n">
        <v>0</v>
      </c>
      <c r="D111" s="91" t="n">
        <v>0</v>
      </c>
      <c r="E111" s="91" t="n">
        <v>0</v>
      </c>
      <c r="F111" s="53">
        <f>C111+D111-E111</f>
        <v/>
      </c>
      <c r="G111" s="54">
        <f>F111/1000</f>
        <v/>
      </c>
      <c r="H111" s="55">
        <f>IF(F111&lt;200,"⚠️ BAIXO",IF(F111&lt;500,"📦 OK","✅ CHEIO"))</f>
        <v/>
      </c>
    </row>
    <row r="112" ht="18" customHeight="1" s="109">
      <c r="A112" s="19" t="inlineStr">
        <is>
          <t>Bambu Lab | PETG Basic | Branco</t>
        </is>
      </c>
      <c r="B112" s="46" t="inlineStr">
        <is>
          <t>PETG Basic</t>
        </is>
      </c>
      <c r="C112" s="91" t="n">
        <v>0</v>
      </c>
      <c r="D112" s="91" t="n">
        <v>0</v>
      </c>
      <c r="E112" s="91" t="n">
        <v>0</v>
      </c>
      <c r="F112" s="53">
        <f>C112+D112-E112</f>
        <v/>
      </c>
      <c r="G112" s="54">
        <f>F112/1000</f>
        <v/>
      </c>
      <c r="H112" s="55">
        <f>IF(F112&lt;200,"⚠️ BAIXO",IF(F112&lt;500,"📦 OK","✅ CHEIO"))</f>
        <v/>
      </c>
    </row>
    <row r="113" ht="18" customHeight="1" s="109">
      <c r="A113" s="15" t="inlineStr">
        <is>
          <t>Bambu Lab | PETG Basic | Preto</t>
        </is>
      </c>
      <c r="B113" s="33" t="inlineStr">
        <is>
          <t>PETG Basic</t>
        </is>
      </c>
      <c r="C113" s="91" t="n">
        <v>0</v>
      </c>
      <c r="D113" s="91" t="n">
        <v>0</v>
      </c>
      <c r="E113" s="91" t="n">
        <v>0</v>
      </c>
      <c r="F113" s="53">
        <f>C113+D113-E113</f>
        <v/>
      </c>
      <c r="G113" s="54">
        <f>F113/1000</f>
        <v/>
      </c>
      <c r="H113" s="55">
        <f>IF(F113&lt;200,"⚠️ BAIXO",IF(F113&lt;500,"📦 OK","✅ CHEIO"))</f>
        <v/>
      </c>
    </row>
    <row r="114" ht="18" customHeight="1" s="109">
      <c r="A114" s="19" t="inlineStr">
        <is>
          <t>Bambu Lab | PETG Basic | Transparente</t>
        </is>
      </c>
      <c r="B114" s="46" t="inlineStr">
        <is>
          <t>PETG Basic</t>
        </is>
      </c>
      <c r="C114" s="91" t="n">
        <v>0</v>
      </c>
      <c r="D114" s="91" t="n">
        <v>0</v>
      </c>
      <c r="E114" s="91" t="n">
        <v>0</v>
      </c>
      <c r="F114" s="53">
        <f>C114+D114-E114</f>
        <v/>
      </c>
      <c r="G114" s="54">
        <f>F114/1000</f>
        <v/>
      </c>
      <c r="H114" s="55">
        <f>IF(F114&lt;200,"⚠️ BAIXO",IF(F114&lt;500,"📦 OK","✅ CHEIO"))</f>
        <v/>
      </c>
    </row>
    <row r="115" ht="18" customHeight="1" s="109">
      <c r="A115" s="15" t="inlineStr">
        <is>
          <t>Bambu Lab | PETG Basic | Cinza</t>
        </is>
      </c>
      <c r="B115" s="33" t="inlineStr">
        <is>
          <t>PETG Basic</t>
        </is>
      </c>
      <c r="C115" s="91" t="n">
        <v>0</v>
      </c>
      <c r="D115" s="91" t="n">
        <v>0</v>
      </c>
      <c r="E115" s="91" t="n">
        <v>0</v>
      </c>
      <c r="F115" s="53">
        <f>C115+D115-E115</f>
        <v/>
      </c>
      <c r="G115" s="54">
        <f>F115/1000</f>
        <v/>
      </c>
      <c r="H115" s="55">
        <f>IF(F115&lt;200,"⚠️ BAIXO",IF(F115&lt;500,"📦 OK","✅ CHEIO"))</f>
        <v/>
      </c>
    </row>
    <row r="116" ht="18" customHeight="1" s="109">
      <c r="A116" s="19" t="inlineStr">
        <is>
          <t>Bambu Lab | PETG Basic | Azul</t>
        </is>
      </c>
      <c r="B116" s="46" t="inlineStr">
        <is>
          <t>PETG Basic</t>
        </is>
      </c>
      <c r="C116" s="91" t="n">
        <v>0</v>
      </c>
      <c r="D116" s="91" t="n">
        <v>0</v>
      </c>
      <c r="E116" s="91" t="n">
        <v>0</v>
      </c>
      <c r="F116" s="53">
        <f>C116+D116-E116</f>
        <v/>
      </c>
      <c r="G116" s="54">
        <f>F116/1000</f>
        <v/>
      </c>
      <c r="H116" s="55">
        <f>IF(F116&lt;200,"⚠️ BAIXO",IF(F116&lt;500,"📦 OK","✅ CHEIO"))</f>
        <v/>
      </c>
    </row>
    <row r="117" ht="18" customHeight="1" s="109">
      <c r="A117" s="15" t="inlineStr">
        <is>
          <t>Bambu Lab | PETG Basic | Vermelho</t>
        </is>
      </c>
      <c r="B117" s="33" t="inlineStr">
        <is>
          <t>PETG Basic</t>
        </is>
      </c>
      <c r="C117" s="91" t="n">
        <v>0</v>
      </c>
      <c r="D117" s="91" t="n">
        <v>0</v>
      </c>
      <c r="E117" s="91" t="n">
        <v>0</v>
      </c>
      <c r="F117" s="53">
        <f>C117+D117-E117</f>
        <v/>
      </c>
      <c r="G117" s="54">
        <f>F117/1000</f>
        <v/>
      </c>
      <c r="H117" s="55">
        <f>IF(F117&lt;200,"⚠️ BAIXO",IF(F117&lt;500,"📦 OK","✅ CHEIO"))</f>
        <v/>
      </c>
    </row>
    <row r="118" ht="18" customHeight="1" s="109">
      <c r="A118" s="19" t="inlineStr">
        <is>
          <t>Bambu Lab | PETG Basic | Verde</t>
        </is>
      </c>
      <c r="B118" s="46" t="inlineStr">
        <is>
          <t>PETG Basic</t>
        </is>
      </c>
      <c r="C118" s="91" t="n">
        <v>0</v>
      </c>
      <c r="D118" s="91" t="n">
        <v>0</v>
      </c>
      <c r="E118" s="91" t="n">
        <v>0</v>
      </c>
      <c r="F118" s="53">
        <f>C118+D118-E118</f>
        <v/>
      </c>
      <c r="G118" s="54">
        <f>F118/1000</f>
        <v/>
      </c>
      <c r="H118" s="55">
        <f>IF(F118&lt;200,"⚠️ BAIXO",IF(F118&lt;500,"📦 OK","✅ CHEIO"))</f>
        <v/>
      </c>
    </row>
    <row r="119" ht="18" customHeight="1" s="109">
      <c r="A119" s="15" t="inlineStr">
        <is>
          <t>Bambu Lab | PETG Basic | Amarelo</t>
        </is>
      </c>
      <c r="B119" s="33" t="inlineStr">
        <is>
          <t>PETG Basic</t>
        </is>
      </c>
      <c r="C119" s="91" t="n">
        <v>0</v>
      </c>
      <c r="D119" s="91" t="n">
        <v>0</v>
      </c>
      <c r="E119" s="91" t="n">
        <v>0</v>
      </c>
      <c r="F119" s="53">
        <f>C119+D119-E119</f>
        <v/>
      </c>
      <c r="G119" s="54">
        <f>F119/1000</f>
        <v/>
      </c>
      <c r="H119" s="55">
        <f>IF(F119&lt;200,"⚠️ BAIXO",IF(F119&lt;500,"📦 OK","✅ CHEIO"))</f>
        <v/>
      </c>
    </row>
    <row r="120" ht="18" customHeight="1" s="109">
      <c r="A120" s="19" t="inlineStr">
        <is>
          <t>Bambu Lab | PETG-CF | Preto</t>
        </is>
      </c>
      <c r="B120" s="46" t="inlineStr">
        <is>
          <t>PETG-CF</t>
        </is>
      </c>
      <c r="C120" s="91" t="n">
        <v>0</v>
      </c>
      <c r="D120" s="91" t="n">
        <v>0</v>
      </c>
      <c r="E120" s="91" t="n">
        <v>0</v>
      </c>
      <c r="F120" s="53">
        <f>C120+D120-E120</f>
        <v/>
      </c>
      <c r="G120" s="54">
        <f>F120/1000</f>
        <v/>
      </c>
      <c r="H120" s="55">
        <f>IF(F120&lt;200,"⚠️ BAIXO",IF(F120&lt;500,"📦 OK","✅ CHEIO"))</f>
        <v/>
      </c>
    </row>
    <row r="121" ht="18" customHeight="1" s="109">
      <c r="A121" s="15" t="inlineStr">
        <is>
          <t>Bambu Lab | ABS | Branco</t>
        </is>
      </c>
      <c r="B121" s="33" t="inlineStr">
        <is>
          <t>ABS</t>
        </is>
      </c>
      <c r="C121" s="91" t="n">
        <v>0</v>
      </c>
      <c r="D121" s="91" t="n">
        <v>0</v>
      </c>
      <c r="E121" s="91" t="n">
        <v>0</v>
      </c>
      <c r="F121" s="53">
        <f>C121+D121-E121</f>
        <v/>
      </c>
      <c r="G121" s="54">
        <f>F121/1000</f>
        <v/>
      </c>
      <c r="H121" s="55">
        <f>IF(F121&lt;200,"⚠️ BAIXO",IF(F121&lt;500,"📦 OK","✅ CHEIO"))</f>
        <v/>
      </c>
    </row>
    <row r="122" ht="18" customHeight="1" s="109">
      <c r="A122" s="19" t="inlineStr">
        <is>
          <t>Bambu Lab | ABS | Preto</t>
        </is>
      </c>
      <c r="B122" s="46" t="inlineStr">
        <is>
          <t>ABS</t>
        </is>
      </c>
      <c r="C122" s="91" t="n">
        <v>0</v>
      </c>
      <c r="D122" s="91" t="n">
        <v>0</v>
      </c>
      <c r="E122" s="91" t="n">
        <v>0</v>
      </c>
      <c r="F122" s="53">
        <f>C122+D122-E122</f>
        <v/>
      </c>
      <c r="G122" s="54">
        <f>F122/1000</f>
        <v/>
      </c>
      <c r="H122" s="55">
        <f>IF(F122&lt;200,"⚠️ BAIXO",IF(F122&lt;500,"📦 OK","✅ CHEIO"))</f>
        <v/>
      </c>
    </row>
    <row r="123" ht="18" customHeight="1" s="109">
      <c r="A123" s="15" t="inlineStr">
        <is>
          <t>Bambu Lab | ABS | Cinza</t>
        </is>
      </c>
      <c r="B123" s="33" t="inlineStr">
        <is>
          <t>ABS</t>
        </is>
      </c>
      <c r="C123" s="91" t="n">
        <v>0</v>
      </c>
      <c r="D123" s="91" t="n">
        <v>0</v>
      </c>
      <c r="E123" s="91" t="n">
        <v>0</v>
      </c>
      <c r="F123" s="53">
        <f>C123+D123-E123</f>
        <v/>
      </c>
      <c r="G123" s="54">
        <f>F123/1000</f>
        <v/>
      </c>
      <c r="H123" s="55">
        <f>IF(F123&lt;200,"⚠️ BAIXO",IF(F123&lt;500,"📦 OK","✅ CHEIO"))</f>
        <v/>
      </c>
    </row>
    <row r="124" ht="18" customHeight="1" s="109">
      <c r="A124" s="19" t="inlineStr">
        <is>
          <t>Bambu Lab | ABS | Vermelho</t>
        </is>
      </c>
      <c r="B124" s="46" t="inlineStr">
        <is>
          <t>ABS</t>
        </is>
      </c>
      <c r="C124" s="91" t="n">
        <v>0</v>
      </c>
      <c r="D124" s="91" t="n">
        <v>0</v>
      </c>
      <c r="E124" s="91" t="n">
        <v>0</v>
      </c>
      <c r="F124" s="53">
        <f>C124+D124-E124</f>
        <v/>
      </c>
      <c r="G124" s="54">
        <f>F124/1000</f>
        <v/>
      </c>
      <c r="H124" s="55">
        <f>IF(F124&lt;200,"⚠️ BAIXO",IF(F124&lt;500,"📦 OK","✅ CHEIO"))</f>
        <v/>
      </c>
    </row>
    <row r="125" ht="18" customHeight="1" s="109">
      <c r="A125" s="15" t="inlineStr">
        <is>
          <t>Bambu Lab | ABS | Azul</t>
        </is>
      </c>
      <c r="B125" s="33" t="inlineStr">
        <is>
          <t>ABS</t>
        </is>
      </c>
      <c r="C125" s="91" t="n">
        <v>0</v>
      </c>
      <c r="D125" s="91" t="n">
        <v>0</v>
      </c>
      <c r="E125" s="91" t="n">
        <v>0</v>
      </c>
      <c r="F125" s="53">
        <f>C125+D125-E125</f>
        <v/>
      </c>
      <c r="G125" s="54">
        <f>F125/1000</f>
        <v/>
      </c>
      <c r="H125" s="55">
        <f>IF(F125&lt;200,"⚠️ BAIXO",IF(F125&lt;500,"📦 OK","✅ CHEIO"))</f>
        <v/>
      </c>
    </row>
    <row r="126" ht="18" customHeight="1" s="109">
      <c r="A126" s="19" t="inlineStr">
        <is>
          <t>Bambu Lab | ASA | Branco</t>
        </is>
      </c>
      <c r="B126" s="46" t="inlineStr">
        <is>
          <t>ASA</t>
        </is>
      </c>
      <c r="C126" s="91" t="n">
        <v>0</v>
      </c>
      <c r="D126" s="91" t="n">
        <v>0</v>
      </c>
      <c r="E126" s="91" t="n">
        <v>0</v>
      </c>
      <c r="F126" s="53">
        <f>C126+D126-E126</f>
        <v/>
      </c>
      <c r="G126" s="54">
        <f>F126/1000</f>
        <v/>
      </c>
      <c r="H126" s="55">
        <f>IF(F126&lt;200,"⚠️ BAIXO",IF(F126&lt;500,"📦 OK","✅ CHEIO"))</f>
        <v/>
      </c>
    </row>
    <row r="127" ht="18" customHeight="1" s="109">
      <c r="A127" s="15" t="inlineStr">
        <is>
          <t>Bambu Lab | ASA | Preto</t>
        </is>
      </c>
      <c r="B127" s="33" t="inlineStr">
        <is>
          <t>ASA</t>
        </is>
      </c>
      <c r="C127" s="91" t="n">
        <v>0</v>
      </c>
      <c r="D127" s="91" t="n">
        <v>0</v>
      </c>
      <c r="E127" s="91" t="n">
        <v>0</v>
      </c>
      <c r="F127" s="53">
        <f>C127+D127-E127</f>
        <v/>
      </c>
      <c r="G127" s="54">
        <f>F127/1000</f>
        <v/>
      </c>
      <c r="H127" s="55">
        <f>IF(F127&lt;200,"⚠️ BAIXO",IF(F127&lt;500,"📦 OK","✅ CHEIO"))</f>
        <v/>
      </c>
    </row>
    <row r="128" ht="18" customHeight="1" s="109">
      <c r="A128" s="19" t="inlineStr">
        <is>
          <t>Bambu Lab | ASA | Cinza</t>
        </is>
      </c>
      <c r="B128" s="46" t="inlineStr">
        <is>
          <t>ASA</t>
        </is>
      </c>
      <c r="C128" s="91" t="n">
        <v>0</v>
      </c>
      <c r="D128" s="91" t="n">
        <v>0</v>
      </c>
      <c r="E128" s="91" t="n">
        <v>0</v>
      </c>
      <c r="F128" s="53">
        <f>C128+D128-E128</f>
        <v/>
      </c>
      <c r="G128" s="54">
        <f>F128/1000</f>
        <v/>
      </c>
      <c r="H128" s="55">
        <f>IF(F128&lt;200,"⚠️ BAIXO",IF(F128&lt;500,"📦 OK","✅ CHEIO"))</f>
        <v/>
      </c>
    </row>
    <row r="129" ht="18" customHeight="1" s="109">
      <c r="A129" s="15" t="inlineStr">
        <is>
          <t>Bambu Lab | ASA | Vermelho</t>
        </is>
      </c>
      <c r="B129" s="33" t="inlineStr">
        <is>
          <t>ASA</t>
        </is>
      </c>
      <c r="C129" s="91" t="n">
        <v>0</v>
      </c>
      <c r="D129" s="91" t="n">
        <v>0</v>
      </c>
      <c r="E129" s="91" t="n">
        <v>0</v>
      </c>
      <c r="F129" s="53">
        <f>C129+D129-E129</f>
        <v/>
      </c>
      <c r="G129" s="54">
        <f>F129/1000</f>
        <v/>
      </c>
      <c r="H129" s="55">
        <f>IF(F129&lt;200,"⚠️ BAIXO",IF(F129&lt;500,"📦 OK","✅ CHEIO"))</f>
        <v/>
      </c>
    </row>
    <row r="130" ht="18" customHeight="1" s="109">
      <c r="A130" s="19" t="inlineStr">
        <is>
          <t>Bambu Lab | ASA | Azul</t>
        </is>
      </c>
      <c r="B130" s="46" t="inlineStr">
        <is>
          <t>ASA</t>
        </is>
      </c>
      <c r="C130" s="91" t="n">
        <v>0</v>
      </c>
      <c r="D130" s="91" t="n">
        <v>0</v>
      </c>
      <c r="E130" s="91" t="n">
        <v>0</v>
      </c>
      <c r="F130" s="53">
        <f>C130+D130-E130</f>
        <v/>
      </c>
      <c r="G130" s="54">
        <f>F130/1000</f>
        <v/>
      </c>
      <c r="H130" s="55">
        <f>IF(F130&lt;200,"⚠️ BAIXO",IF(F130&lt;500,"📦 OK","✅ CHEIO"))</f>
        <v/>
      </c>
    </row>
    <row r="131" ht="18" customHeight="1" s="109">
      <c r="A131" s="15" t="inlineStr">
        <is>
          <t>Bambu Lab | TPU 95A | Preto</t>
        </is>
      </c>
      <c r="B131" s="33" t="inlineStr">
        <is>
          <t>TPU 95A</t>
        </is>
      </c>
      <c r="C131" s="91" t="n">
        <v>0</v>
      </c>
      <c r="D131" s="91" t="n">
        <v>0</v>
      </c>
      <c r="E131" s="91" t="n">
        <v>0</v>
      </c>
      <c r="F131" s="53">
        <f>C131+D131-E131</f>
        <v/>
      </c>
      <c r="G131" s="54">
        <f>F131/1000</f>
        <v/>
      </c>
      <c r="H131" s="55">
        <f>IF(F131&lt;200,"⚠️ BAIXO",IF(F131&lt;500,"📦 OK","✅ CHEIO"))</f>
        <v/>
      </c>
    </row>
    <row r="132" ht="18" customHeight="1" s="109">
      <c r="A132" s="19" t="inlineStr">
        <is>
          <t>Bambu Lab | TPU 95A | Branco</t>
        </is>
      </c>
      <c r="B132" s="46" t="inlineStr">
        <is>
          <t>TPU 95A</t>
        </is>
      </c>
      <c r="C132" s="91" t="n">
        <v>0</v>
      </c>
      <c r="D132" s="91" t="n">
        <v>0</v>
      </c>
      <c r="E132" s="91" t="n">
        <v>0</v>
      </c>
      <c r="F132" s="53">
        <f>C132+D132-E132</f>
        <v/>
      </c>
      <c r="G132" s="54">
        <f>F132/1000</f>
        <v/>
      </c>
      <c r="H132" s="55">
        <f>IF(F132&lt;200,"⚠️ BAIXO",IF(F132&lt;500,"📦 OK","✅ CHEIO"))</f>
        <v/>
      </c>
    </row>
    <row r="133" ht="18" customHeight="1" s="109">
      <c r="A133" s="15" t="inlineStr">
        <is>
          <t>Bambu Lab | TPU 95A | Transparente</t>
        </is>
      </c>
      <c r="B133" s="33" t="inlineStr">
        <is>
          <t>TPU 95A</t>
        </is>
      </c>
      <c r="C133" s="91" t="n">
        <v>0</v>
      </c>
      <c r="D133" s="91" t="n">
        <v>0</v>
      </c>
      <c r="E133" s="91" t="n">
        <v>0</v>
      </c>
      <c r="F133" s="53">
        <f>C133+D133-E133</f>
        <v/>
      </c>
      <c r="G133" s="54">
        <f>F133/1000</f>
        <v/>
      </c>
      <c r="H133" s="55">
        <f>IF(F133&lt;200,"⚠️ BAIXO",IF(F133&lt;500,"📦 OK","✅ CHEIO"))</f>
        <v/>
      </c>
    </row>
    <row r="134" ht="18" customHeight="1" s="109">
      <c r="A134" s="19" t="inlineStr">
        <is>
          <t>Bambu Lab | TPU 95A | Azul</t>
        </is>
      </c>
      <c r="B134" s="46" t="inlineStr">
        <is>
          <t>TPU 95A</t>
        </is>
      </c>
      <c r="C134" s="91" t="n">
        <v>0</v>
      </c>
      <c r="D134" s="91" t="n">
        <v>0</v>
      </c>
      <c r="E134" s="91" t="n">
        <v>0</v>
      </c>
      <c r="F134" s="53">
        <f>C134+D134-E134</f>
        <v/>
      </c>
      <c r="G134" s="54">
        <f>F134/1000</f>
        <v/>
      </c>
      <c r="H134" s="55">
        <f>IF(F134&lt;200,"⚠️ BAIXO",IF(F134&lt;500,"📦 OK","✅ CHEIO"))</f>
        <v/>
      </c>
    </row>
    <row r="135" ht="18" customHeight="1" s="109">
      <c r="A135" s="15" t="inlineStr">
        <is>
          <t>Bambu Lab | TPU 95A | Vermelho</t>
        </is>
      </c>
      <c r="B135" s="33" t="inlineStr">
        <is>
          <t>TPU 95A</t>
        </is>
      </c>
      <c r="C135" s="91" t="n">
        <v>0</v>
      </c>
      <c r="D135" s="91" t="n">
        <v>0</v>
      </c>
      <c r="E135" s="91" t="n">
        <v>0</v>
      </c>
      <c r="F135" s="53">
        <f>C135+D135-E135</f>
        <v/>
      </c>
      <c r="G135" s="54">
        <f>F135/1000</f>
        <v/>
      </c>
      <c r="H135" s="55">
        <f>IF(F135&lt;200,"⚠️ BAIXO",IF(F135&lt;500,"📦 OK","✅ CHEIO"))</f>
        <v/>
      </c>
    </row>
    <row r="136" ht="18" customHeight="1" s="109">
      <c r="A136" s="19" t="inlineStr">
        <is>
          <t>Bambu Lab | TPU 95A | Verde</t>
        </is>
      </c>
      <c r="B136" s="46" t="inlineStr">
        <is>
          <t>TPU 95A</t>
        </is>
      </c>
      <c r="C136" s="91" t="n">
        <v>0</v>
      </c>
      <c r="D136" s="91" t="n">
        <v>0</v>
      </c>
      <c r="E136" s="91" t="n">
        <v>0</v>
      </c>
      <c r="F136" s="53">
        <f>C136+D136-E136</f>
        <v/>
      </c>
      <c r="G136" s="54">
        <f>F136/1000</f>
        <v/>
      </c>
      <c r="H136" s="55">
        <f>IF(F136&lt;200,"⚠️ BAIXO",IF(F136&lt;500,"📦 OK","✅ CHEIO"))</f>
        <v/>
      </c>
    </row>
    <row r="137" ht="18" customHeight="1" s="109">
      <c r="A137" s="15" t="inlineStr">
        <is>
          <t>Bambu Lab | PA (Nylon) | Preto</t>
        </is>
      </c>
      <c r="B137" s="33" t="inlineStr">
        <is>
          <t>PA (Nylon)</t>
        </is>
      </c>
      <c r="C137" s="91" t="n">
        <v>0</v>
      </c>
      <c r="D137" s="91" t="n">
        <v>0</v>
      </c>
      <c r="E137" s="91" t="n">
        <v>0</v>
      </c>
      <c r="F137" s="53">
        <f>C137+D137-E137</f>
        <v/>
      </c>
      <c r="G137" s="54">
        <f>F137/1000</f>
        <v/>
      </c>
      <c r="H137" s="55">
        <f>IF(F137&lt;200,"⚠️ BAIXO",IF(F137&lt;500,"📦 OK","✅ CHEIO"))</f>
        <v/>
      </c>
    </row>
    <row r="138" ht="18" customHeight="1" s="109">
      <c r="A138" s="19" t="inlineStr">
        <is>
          <t>Bambu Lab | PA (Nylon) | Branco</t>
        </is>
      </c>
      <c r="B138" s="46" t="inlineStr">
        <is>
          <t>PA (Nylon)</t>
        </is>
      </c>
      <c r="C138" s="91" t="n">
        <v>0</v>
      </c>
      <c r="D138" s="91" t="n">
        <v>0</v>
      </c>
      <c r="E138" s="91" t="n">
        <v>0</v>
      </c>
      <c r="F138" s="53">
        <f>C138+D138-E138</f>
        <v/>
      </c>
      <c r="G138" s="54">
        <f>F138/1000</f>
        <v/>
      </c>
      <c r="H138" s="55">
        <f>IF(F138&lt;200,"⚠️ BAIXO",IF(F138&lt;500,"📦 OK","✅ CHEIO"))</f>
        <v/>
      </c>
    </row>
    <row r="139" ht="18" customHeight="1" s="109">
      <c r="A139" s="15" t="inlineStr">
        <is>
          <t>Bambu Lab | PA (Nylon) | Natural</t>
        </is>
      </c>
      <c r="B139" s="33" t="inlineStr">
        <is>
          <t>PA (Nylon)</t>
        </is>
      </c>
      <c r="C139" s="91" t="n">
        <v>0</v>
      </c>
      <c r="D139" s="91" t="n">
        <v>0</v>
      </c>
      <c r="E139" s="91" t="n">
        <v>0</v>
      </c>
      <c r="F139" s="53">
        <f>C139+D139-E139</f>
        <v/>
      </c>
      <c r="G139" s="54">
        <f>F139/1000</f>
        <v/>
      </c>
      <c r="H139" s="55">
        <f>IF(F139&lt;200,"⚠️ BAIXO",IF(F139&lt;500,"📦 OK","✅ CHEIO"))</f>
        <v/>
      </c>
    </row>
    <row r="140" ht="18" customHeight="1" s="109">
      <c r="A140" s="19" t="inlineStr">
        <is>
          <t>Bambu Lab | PA-CF | Preto</t>
        </is>
      </c>
      <c r="B140" s="46" t="inlineStr">
        <is>
          <t>PA-CF</t>
        </is>
      </c>
      <c r="C140" s="91" t="n">
        <v>0</v>
      </c>
      <c r="D140" s="91" t="n">
        <v>0</v>
      </c>
      <c r="E140" s="91" t="n">
        <v>0</v>
      </c>
      <c r="F140" s="53">
        <f>C140+D140-E140</f>
        <v/>
      </c>
      <c r="G140" s="54">
        <f>F140/1000</f>
        <v/>
      </c>
      <c r="H140" s="55">
        <f>IF(F140&lt;200,"⚠️ BAIXO",IF(F140&lt;500,"📦 OK","✅ CHEIO"))</f>
        <v/>
      </c>
    </row>
    <row r="141" ht="18" customHeight="1" s="109">
      <c r="A141" s="15" t="inlineStr">
        <is>
          <t>Bambu Lab | PC | Branco</t>
        </is>
      </c>
      <c r="B141" s="33" t="inlineStr">
        <is>
          <t>PC</t>
        </is>
      </c>
      <c r="C141" s="91" t="n">
        <v>0</v>
      </c>
      <c r="D141" s="91" t="n">
        <v>0</v>
      </c>
      <c r="E141" s="91" t="n">
        <v>0</v>
      </c>
      <c r="F141" s="53">
        <f>C141+D141-E141</f>
        <v/>
      </c>
      <c r="G141" s="54">
        <f>F141/1000</f>
        <v/>
      </c>
      <c r="H141" s="55">
        <f>IF(F141&lt;200,"⚠️ BAIXO",IF(F141&lt;500,"📦 OK","✅ CHEIO"))</f>
        <v/>
      </c>
    </row>
    <row r="142" ht="18" customHeight="1" s="109">
      <c r="A142" s="19" t="inlineStr">
        <is>
          <t>Bambu Lab | PC | Preto</t>
        </is>
      </c>
      <c r="B142" s="46" t="inlineStr">
        <is>
          <t>PC</t>
        </is>
      </c>
      <c r="C142" s="91" t="n">
        <v>0</v>
      </c>
      <c r="D142" s="91" t="n">
        <v>0</v>
      </c>
      <c r="E142" s="91" t="n">
        <v>0</v>
      </c>
      <c r="F142" s="53">
        <f>C142+D142-E142</f>
        <v/>
      </c>
      <c r="G142" s="54">
        <f>F142/1000</f>
        <v/>
      </c>
      <c r="H142" s="55">
        <f>IF(F142&lt;200,"⚠️ BAIXO",IF(F142&lt;500,"📦 OK","✅ CHEIO"))</f>
        <v/>
      </c>
    </row>
    <row r="143" ht="18" customHeight="1" s="109">
      <c r="A143" s="15" t="inlineStr">
        <is>
          <t>Bambu Lab | PC | Transparente</t>
        </is>
      </c>
      <c r="B143" s="33" t="inlineStr">
        <is>
          <t>PC</t>
        </is>
      </c>
      <c r="C143" s="91" t="n">
        <v>0</v>
      </c>
      <c r="D143" s="91" t="n">
        <v>0</v>
      </c>
      <c r="E143" s="91" t="n">
        <v>0</v>
      </c>
      <c r="F143" s="53">
        <f>C143+D143-E143</f>
        <v/>
      </c>
      <c r="G143" s="54">
        <f>F143/1000</f>
        <v/>
      </c>
      <c r="H143" s="55">
        <f>IF(F143&lt;200,"⚠️ BAIXO",IF(F143&lt;500,"📦 OK","✅ CHEIO"))</f>
        <v/>
      </c>
    </row>
    <row r="144" ht="18" customHeight="1" s="109">
      <c r="A144" s="19" t="inlineStr">
        <is>
          <t>Bambu Lab | PVA | Natural</t>
        </is>
      </c>
      <c r="B144" s="46" t="inlineStr">
        <is>
          <t>PVA</t>
        </is>
      </c>
      <c r="C144" s="91" t="n">
        <v>0</v>
      </c>
      <c r="D144" s="91" t="n">
        <v>0</v>
      </c>
      <c r="E144" s="91" t="n">
        <v>0</v>
      </c>
      <c r="F144" s="53">
        <f>C144+D144-E144</f>
        <v/>
      </c>
      <c r="G144" s="54">
        <f>F144/1000</f>
        <v/>
      </c>
      <c r="H144" s="55">
        <f>IF(F144&lt;200,"⚠️ BAIXO",IF(F144&lt;500,"📦 OK","✅ CHEIO"))</f>
        <v/>
      </c>
    </row>
    <row r="145" ht="18" customHeight="1" s="109">
      <c r="A145" s="15" t="inlineStr">
        <is>
          <t>Bambu Lab | BVOH | Natural</t>
        </is>
      </c>
      <c r="B145" s="33" t="inlineStr">
        <is>
          <t>BVOH</t>
        </is>
      </c>
      <c r="C145" s="91" t="n">
        <v>0</v>
      </c>
      <c r="D145" s="91" t="n">
        <v>0</v>
      </c>
      <c r="E145" s="91" t="n">
        <v>0</v>
      </c>
      <c r="F145" s="53">
        <f>C145+D145-E145</f>
        <v/>
      </c>
      <c r="G145" s="54">
        <f>F145/1000</f>
        <v/>
      </c>
      <c r="H145" s="55">
        <f>IF(F145&lt;200,"⚠️ BAIXO",IF(F145&lt;500,"📦 OK","✅ CHEIO"))</f>
        <v/>
      </c>
    </row>
    <row r="146" ht="18" customHeight="1" s="109">
      <c r="A146" s="19" t="inlineStr">
        <is>
          <t>Elegoo | PLA | Preto</t>
        </is>
      </c>
      <c r="B146" s="46" t="inlineStr">
        <is>
          <t>PLA</t>
        </is>
      </c>
      <c r="C146" s="91" t="n">
        <v>0</v>
      </c>
      <c r="D146" s="91" t="n">
        <v>0</v>
      </c>
      <c r="E146" s="91" t="n">
        <v>0</v>
      </c>
      <c r="F146" s="53">
        <f>C146+D146-E146</f>
        <v/>
      </c>
      <c r="G146" s="54">
        <f>F146/1000</f>
        <v/>
      </c>
      <c r="H146" s="55">
        <f>IF(F146&lt;200,"⚠️ BAIXO",IF(F146&lt;500,"📦 OK","✅ CHEIO"))</f>
        <v/>
      </c>
    </row>
    <row r="147" ht="18" customHeight="1" s="109">
      <c r="A147" s="15" t="inlineStr">
        <is>
          <t>Elegoo | PLA | Branco</t>
        </is>
      </c>
      <c r="B147" s="33" t="inlineStr">
        <is>
          <t>PLA</t>
        </is>
      </c>
      <c r="C147" s="91" t="n">
        <v>0</v>
      </c>
      <c r="D147" s="91" t="n">
        <v>0</v>
      </c>
      <c r="E147" s="91" t="n">
        <v>0</v>
      </c>
      <c r="F147" s="53">
        <f>C147+D147-E147</f>
        <v/>
      </c>
      <c r="G147" s="54">
        <f>F147/1000</f>
        <v/>
      </c>
      <c r="H147" s="55">
        <f>IF(F147&lt;200,"⚠️ BAIXO",IF(F147&lt;500,"📦 OK","✅ CHEIO"))</f>
        <v/>
      </c>
    </row>
    <row r="148" ht="18" customHeight="1" s="109">
      <c r="A148" s="19" t="inlineStr">
        <is>
          <t>Elegoo | PLA | Cinza</t>
        </is>
      </c>
      <c r="B148" s="46" t="inlineStr">
        <is>
          <t>PLA</t>
        </is>
      </c>
      <c r="C148" s="91" t="n">
        <v>0</v>
      </c>
      <c r="D148" s="91" t="n">
        <v>0</v>
      </c>
      <c r="E148" s="91" t="n">
        <v>0</v>
      </c>
      <c r="F148" s="53">
        <f>C148+D148-E148</f>
        <v/>
      </c>
      <c r="G148" s="54">
        <f>F148/1000</f>
        <v/>
      </c>
      <c r="H148" s="55">
        <f>IF(F148&lt;200,"⚠️ BAIXO",IF(F148&lt;500,"📦 OK","✅ CHEIO"))</f>
        <v/>
      </c>
    </row>
    <row r="149" ht="18" customHeight="1" s="109">
      <c r="A149" s="15" t="inlineStr">
        <is>
          <t>Elegoo | PLA | Verde Neon</t>
        </is>
      </c>
      <c r="B149" s="33" t="inlineStr">
        <is>
          <t>PLA</t>
        </is>
      </c>
      <c r="C149" s="91" t="n">
        <v>0</v>
      </c>
      <c r="D149" s="91" t="n">
        <v>0</v>
      </c>
      <c r="E149" s="91" t="n">
        <v>0</v>
      </c>
      <c r="F149" s="53">
        <f>C149+D149-E149</f>
        <v/>
      </c>
      <c r="G149" s="54">
        <f>F149/1000</f>
        <v/>
      </c>
      <c r="H149" s="55">
        <f>IF(F149&lt;200,"⚠️ BAIXO",IF(F149&lt;500,"📦 OK","✅ CHEIO"))</f>
        <v/>
      </c>
    </row>
    <row r="150" ht="18" customHeight="1" s="109">
      <c r="A150" s="19" t="inlineStr">
        <is>
          <t>Elegoo | PLA | Azul Escuro</t>
        </is>
      </c>
      <c r="B150" s="46" t="inlineStr">
        <is>
          <t>PLA</t>
        </is>
      </c>
      <c r="C150" s="91" t="n">
        <v>0</v>
      </c>
      <c r="D150" s="91" t="n">
        <v>0</v>
      </c>
      <c r="E150" s="91" t="n">
        <v>0</v>
      </c>
      <c r="F150" s="53">
        <f>C150+D150-E150</f>
        <v/>
      </c>
      <c r="G150" s="54">
        <f>F150/1000</f>
        <v/>
      </c>
      <c r="H150" s="55">
        <f>IF(F150&lt;200,"⚠️ BAIXO",IF(F150&lt;500,"📦 OK","✅ CHEIO"))</f>
        <v/>
      </c>
    </row>
    <row r="151" ht="18" customHeight="1" s="109">
      <c r="A151" s="15" t="inlineStr">
        <is>
          <t>Elegoo | PLA | Vermelho</t>
        </is>
      </c>
      <c r="B151" s="33" t="inlineStr">
        <is>
          <t>PLA</t>
        </is>
      </c>
      <c r="C151" s="91" t="n">
        <v>0</v>
      </c>
      <c r="D151" s="91" t="n">
        <v>0</v>
      </c>
      <c r="E151" s="91" t="n">
        <v>0</v>
      </c>
      <c r="F151" s="53">
        <f>C151+D151-E151</f>
        <v/>
      </c>
      <c r="G151" s="54">
        <f>F151/1000</f>
        <v/>
      </c>
      <c r="H151" s="55">
        <f>IF(F151&lt;200,"⚠️ BAIXO",IF(F151&lt;500,"📦 OK","✅ CHEIO"))</f>
        <v/>
      </c>
    </row>
    <row r="152" ht="18" customHeight="1" s="109">
      <c r="A152" s="19" t="inlineStr">
        <is>
          <t>Elegoo | PLA | Amarelo</t>
        </is>
      </c>
      <c r="B152" s="46" t="inlineStr">
        <is>
          <t>PLA</t>
        </is>
      </c>
      <c r="C152" s="91" t="n">
        <v>0</v>
      </c>
      <c r="D152" s="91" t="n">
        <v>0</v>
      </c>
      <c r="E152" s="91" t="n">
        <v>0</v>
      </c>
      <c r="F152" s="53">
        <f>C152+D152-E152</f>
        <v/>
      </c>
      <c r="G152" s="54">
        <f>F152/1000</f>
        <v/>
      </c>
      <c r="H152" s="55">
        <f>IF(F152&lt;200,"⚠️ BAIXO",IF(F152&lt;500,"📦 OK","✅ CHEIO"))</f>
        <v/>
      </c>
    </row>
    <row r="153" ht="18" customHeight="1" s="109">
      <c r="A153" s="15" t="inlineStr">
        <is>
          <t>Elegoo | PLA | Laranja</t>
        </is>
      </c>
      <c r="B153" s="33" t="inlineStr">
        <is>
          <t>PLA</t>
        </is>
      </c>
      <c r="C153" s="91" t="n">
        <v>0</v>
      </c>
      <c r="D153" s="91" t="n">
        <v>0</v>
      </c>
      <c r="E153" s="91" t="n">
        <v>0</v>
      </c>
      <c r="F153" s="53">
        <f>C153+D153-E153</f>
        <v/>
      </c>
      <c r="G153" s="54">
        <f>F153/1000</f>
        <v/>
      </c>
      <c r="H153" s="55">
        <f>IF(F153&lt;200,"⚠️ BAIXO",IF(F153&lt;500,"📦 OK","✅ CHEIO"))</f>
        <v/>
      </c>
    </row>
    <row r="154" ht="18" customHeight="1" s="109">
      <c r="A154" s="19" t="inlineStr">
        <is>
          <t>Elegoo | PLA | Rosa</t>
        </is>
      </c>
      <c r="B154" s="46" t="inlineStr">
        <is>
          <t>PLA</t>
        </is>
      </c>
      <c r="C154" s="91" t="n">
        <v>0</v>
      </c>
      <c r="D154" s="91" t="n">
        <v>0</v>
      </c>
      <c r="E154" s="91" t="n">
        <v>0</v>
      </c>
      <c r="F154" s="53">
        <f>C154+D154-E154</f>
        <v/>
      </c>
      <c r="G154" s="54">
        <f>F154/1000</f>
        <v/>
      </c>
      <c r="H154" s="55">
        <f>IF(F154&lt;200,"⚠️ BAIXO",IF(F154&lt;500,"📦 OK","✅ CHEIO"))</f>
        <v/>
      </c>
    </row>
    <row r="155" ht="18" customHeight="1" s="109">
      <c r="A155" s="15" t="inlineStr">
        <is>
          <t>Elegoo | PLA | Roxo</t>
        </is>
      </c>
      <c r="B155" s="33" t="inlineStr">
        <is>
          <t>PLA</t>
        </is>
      </c>
      <c r="C155" s="91" t="n">
        <v>0</v>
      </c>
      <c r="D155" s="91" t="n">
        <v>0</v>
      </c>
      <c r="E155" s="91" t="n">
        <v>0</v>
      </c>
      <c r="F155" s="53">
        <f>C155+D155-E155</f>
        <v/>
      </c>
      <c r="G155" s="54">
        <f>F155/1000</f>
        <v/>
      </c>
      <c r="H155" s="55">
        <f>IF(F155&lt;200,"⚠️ BAIXO",IF(F155&lt;500,"📦 OK","✅ CHEIO"))</f>
        <v/>
      </c>
    </row>
    <row r="156" ht="18" customHeight="1" s="109">
      <c r="A156" s="19" t="inlineStr">
        <is>
          <t>Elegoo | PLA | Translúcido</t>
        </is>
      </c>
      <c r="B156" s="46" t="inlineStr">
        <is>
          <t>PLA</t>
        </is>
      </c>
      <c r="C156" s="91" t="n">
        <v>0</v>
      </c>
      <c r="D156" s="91" t="n">
        <v>0</v>
      </c>
      <c r="E156" s="91" t="n">
        <v>0</v>
      </c>
      <c r="F156" s="53">
        <f>C156+D156-E156</f>
        <v/>
      </c>
      <c r="G156" s="54">
        <f>F156/1000</f>
        <v/>
      </c>
      <c r="H156" s="55">
        <f>IF(F156&lt;200,"⚠️ BAIXO",IF(F156&lt;500,"📦 OK","✅ CHEIO"))</f>
        <v/>
      </c>
    </row>
    <row r="157" ht="18" customHeight="1" s="109">
      <c r="A157" s="15" t="inlineStr">
        <is>
          <t>Elegoo | PLA | Azul Céu</t>
        </is>
      </c>
      <c r="B157" s="33" t="inlineStr">
        <is>
          <t>PLA</t>
        </is>
      </c>
      <c r="C157" s="91" t="n">
        <v>0</v>
      </c>
      <c r="D157" s="91" t="n">
        <v>0</v>
      </c>
      <c r="E157" s="91" t="n">
        <v>0</v>
      </c>
      <c r="F157" s="53">
        <f>C157+D157-E157</f>
        <v/>
      </c>
      <c r="G157" s="54">
        <f>F157/1000</f>
        <v/>
      </c>
      <c r="H157" s="55">
        <f>IF(F157&lt;200,"⚠️ BAIXO",IF(F157&lt;500,"📦 OK","✅ CHEIO"))</f>
        <v/>
      </c>
    </row>
    <row r="158" ht="18" customHeight="1" s="109">
      <c r="A158" s="19" t="inlineStr">
        <is>
          <t>Elegoo | PLA | Verde Mar</t>
        </is>
      </c>
      <c r="B158" s="46" t="inlineStr">
        <is>
          <t>PLA</t>
        </is>
      </c>
      <c r="C158" s="91" t="n">
        <v>0</v>
      </c>
      <c r="D158" s="91" t="n">
        <v>0</v>
      </c>
      <c r="E158" s="91" t="n">
        <v>0</v>
      </c>
      <c r="F158" s="53">
        <f>C158+D158-E158</f>
        <v/>
      </c>
      <c r="G158" s="54">
        <f>F158/1000</f>
        <v/>
      </c>
      <c r="H158" s="55">
        <f>IF(F158&lt;200,"⚠️ BAIXO",IF(F158&lt;500,"📦 OK","✅ CHEIO"))</f>
        <v/>
      </c>
    </row>
    <row r="159" ht="18" customHeight="1" s="109">
      <c r="A159" s="15" t="inlineStr">
        <is>
          <t>Elegoo | PLA | Cinza Espacial</t>
        </is>
      </c>
      <c r="B159" s="33" t="inlineStr">
        <is>
          <t>PLA</t>
        </is>
      </c>
      <c r="C159" s="91" t="n">
        <v>0</v>
      </c>
      <c r="D159" s="91" t="n">
        <v>0</v>
      </c>
      <c r="E159" s="91" t="n">
        <v>0</v>
      </c>
      <c r="F159" s="53">
        <f>C159+D159-E159</f>
        <v/>
      </c>
      <c r="G159" s="54">
        <f>F159/1000</f>
        <v/>
      </c>
      <c r="H159" s="55">
        <f>IF(F159&lt;200,"⚠️ BAIXO",IF(F159&lt;500,"📦 OK","✅ CHEIO"))</f>
        <v/>
      </c>
    </row>
    <row r="160" ht="18" customHeight="1" s="109">
      <c r="A160" s="19" t="inlineStr">
        <is>
          <t>Elegoo | PLA | Cor Madeira</t>
        </is>
      </c>
      <c r="B160" s="46" t="inlineStr">
        <is>
          <t>PLA</t>
        </is>
      </c>
      <c r="C160" s="91" t="n">
        <v>0</v>
      </c>
      <c r="D160" s="91" t="n">
        <v>0</v>
      </c>
      <c r="E160" s="91" t="n">
        <v>0</v>
      </c>
      <c r="F160" s="53">
        <f>C160+D160-E160</f>
        <v/>
      </c>
      <c r="G160" s="54">
        <f>F160/1000</f>
        <v/>
      </c>
      <c r="H160" s="55">
        <f>IF(F160&lt;200,"⚠️ BAIXO",IF(F160&lt;500,"📦 OK","✅ CHEIO"))</f>
        <v/>
      </c>
    </row>
    <row r="161" ht="18" customHeight="1" s="109">
      <c r="A161" s="15" t="inlineStr">
        <is>
          <t>Elegoo | PLA | Marrom</t>
        </is>
      </c>
      <c r="B161" s="33" t="inlineStr">
        <is>
          <t>PLA</t>
        </is>
      </c>
      <c r="C161" s="91" t="n">
        <v>0</v>
      </c>
      <c r="D161" s="91" t="n">
        <v>0</v>
      </c>
      <c r="E161" s="91" t="n">
        <v>0</v>
      </c>
      <c r="F161" s="53">
        <f>C161+D161-E161</f>
        <v/>
      </c>
      <c r="G161" s="54">
        <f>F161/1000</f>
        <v/>
      </c>
      <c r="H161" s="55">
        <f>IF(F161&lt;200,"⚠️ BAIXO",IF(F161&lt;500,"📦 OK","✅ CHEIO"))</f>
        <v/>
      </c>
    </row>
    <row r="162" ht="18" customHeight="1" s="109">
      <c r="A162" s="19" t="inlineStr">
        <is>
          <t>Elegoo | PLA | Bege</t>
        </is>
      </c>
      <c r="B162" s="46" t="inlineStr">
        <is>
          <t>PLA</t>
        </is>
      </c>
      <c r="C162" s="91" t="n">
        <v>0</v>
      </c>
      <c r="D162" s="91" t="n">
        <v>0</v>
      </c>
      <c r="E162" s="91" t="n">
        <v>0</v>
      </c>
      <c r="F162" s="53">
        <f>C162+D162-E162</f>
        <v/>
      </c>
      <c r="G162" s="54">
        <f>F162/1000</f>
        <v/>
      </c>
      <c r="H162" s="55">
        <f>IF(F162&lt;200,"⚠️ BAIXO",IF(F162&lt;500,"📦 OK","✅ CHEIO"))</f>
        <v/>
      </c>
    </row>
    <row r="163" ht="18" customHeight="1" s="109">
      <c r="A163" s="15" t="inlineStr">
        <is>
          <t>Elegoo | PLA | Cobre Metálico</t>
        </is>
      </c>
      <c r="B163" s="33" t="inlineStr">
        <is>
          <t>PLA</t>
        </is>
      </c>
      <c r="C163" s="91" t="n">
        <v>0</v>
      </c>
      <c r="D163" s="91" t="n">
        <v>0</v>
      </c>
      <c r="E163" s="91" t="n">
        <v>0</v>
      </c>
      <c r="F163" s="53">
        <f>C163+D163-E163</f>
        <v/>
      </c>
      <c r="G163" s="54">
        <f>F163/1000</f>
        <v/>
      </c>
      <c r="H163" s="55">
        <f>IF(F163&lt;200,"⚠️ BAIXO",IF(F163&lt;500,"📦 OK","✅ CHEIO"))</f>
        <v/>
      </c>
    </row>
    <row r="164" ht="18" customHeight="1" s="109">
      <c r="A164" s="19" t="inlineStr">
        <is>
          <t>Elegoo | PLA+ | Preto</t>
        </is>
      </c>
      <c r="B164" s="46" t="inlineStr">
        <is>
          <t>PLA+</t>
        </is>
      </c>
      <c r="C164" s="91" t="n">
        <v>0</v>
      </c>
      <c r="D164" s="91" t="n">
        <v>0</v>
      </c>
      <c r="E164" s="91" t="n">
        <v>0</v>
      </c>
      <c r="F164" s="53">
        <f>C164+D164-E164</f>
        <v/>
      </c>
      <c r="G164" s="54">
        <f>F164/1000</f>
        <v/>
      </c>
      <c r="H164" s="55">
        <f>IF(F164&lt;200,"⚠️ BAIXO",IF(F164&lt;500,"📦 OK","✅ CHEIO"))</f>
        <v/>
      </c>
    </row>
    <row r="165" ht="18" customHeight="1" s="109">
      <c r="A165" s="15" t="inlineStr">
        <is>
          <t>Elegoo | PLA+ | Branco</t>
        </is>
      </c>
      <c r="B165" s="33" t="inlineStr">
        <is>
          <t>PLA+</t>
        </is>
      </c>
      <c r="C165" s="91" t="n">
        <v>0</v>
      </c>
      <c r="D165" s="91" t="n">
        <v>0</v>
      </c>
      <c r="E165" s="91" t="n">
        <v>0</v>
      </c>
      <c r="F165" s="53">
        <f>C165+D165-E165</f>
        <v/>
      </c>
      <c r="G165" s="54">
        <f>F165/1000</f>
        <v/>
      </c>
      <c r="H165" s="55">
        <f>IF(F165&lt;200,"⚠️ BAIXO",IF(F165&lt;500,"📦 OK","✅ CHEIO"))</f>
        <v/>
      </c>
    </row>
    <row r="166" ht="18" customHeight="1" s="109">
      <c r="A166" s="19" t="inlineStr">
        <is>
          <t>Elegoo | PLA+ | Cinza</t>
        </is>
      </c>
      <c r="B166" s="46" t="inlineStr">
        <is>
          <t>PLA+</t>
        </is>
      </c>
      <c r="C166" s="91" t="n">
        <v>0</v>
      </c>
      <c r="D166" s="91" t="n">
        <v>0</v>
      </c>
      <c r="E166" s="91" t="n">
        <v>0</v>
      </c>
      <c r="F166" s="53">
        <f>C166+D166-E166</f>
        <v/>
      </c>
      <c r="G166" s="54">
        <f>F166/1000</f>
        <v/>
      </c>
      <c r="H166" s="55">
        <f>IF(F166&lt;200,"⚠️ BAIXO",IF(F166&lt;500,"📦 OK","✅ CHEIO"))</f>
        <v/>
      </c>
    </row>
    <row r="167" ht="18" customHeight="1" s="109">
      <c r="A167" s="15" t="inlineStr">
        <is>
          <t>Elegoo | PLA+ | Verde Neon</t>
        </is>
      </c>
      <c r="B167" s="33" t="inlineStr">
        <is>
          <t>PLA+</t>
        </is>
      </c>
      <c r="C167" s="91" t="n">
        <v>0</v>
      </c>
      <c r="D167" s="91" t="n">
        <v>0</v>
      </c>
      <c r="E167" s="91" t="n">
        <v>0</v>
      </c>
      <c r="F167" s="53">
        <f>C167+D167-E167</f>
        <v/>
      </c>
      <c r="G167" s="54">
        <f>F167/1000</f>
        <v/>
      </c>
      <c r="H167" s="55">
        <f>IF(F167&lt;200,"⚠️ BAIXO",IF(F167&lt;500,"📦 OK","✅ CHEIO"))</f>
        <v/>
      </c>
    </row>
    <row r="168" ht="18" customHeight="1" s="109">
      <c r="A168" s="19" t="inlineStr">
        <is>
          <t>Elegoo | PLA+ | Azul Escuro</t>
        </is>
      </c>
      <c r="B168" s="46" t="inlineStr">
        <is>
          <t>PLA+</t>
        </is>
      </c>
      <c r="C168" s="91" t="n">
        <v>0</v>
      </c>
      <c r="D168" s="91" t="n">
        <v>0</v>
      </c>
      <c r="E168" s="91" t="n">
        <v>0</v>
      </c>
      <c r="F168" s="53">
        <f>C168+D168-E168</f>
        <v/>
      </c>
      <c r="G168" s="54">
        <f>F168/1000</f>
        <v/>
      </c>
      <c r="H168" s="55">
        <f>IF(F168&lt;200,"⚠️ BAIXO",IF(F168&lt;500,"📦 OK","✅ CHEIO"))</f>
        <v/>
      </c>
    </row>
    <row r="169" ht="18" customHeight="1" s="109">
      <c r="A169" s="15" t="inlineStr">
        <is>
          <t>Elegoo | PLA+ | Vermelho</t>
        </is>
      </c>
      <c r="B169" s="33" t="inlineStr">
        <is>
          <t>PLA+</t>
        </is>
      </c>
      <c r="C169" s="91" t="n">
        <v>0</v>
      </c>
      <c r="D169" s="91" t="n">
        <v>0</v>
      </c>
      <c r="E169" s="91" t="n">
        <v>0</v>
      </c>
      <c r="F169" s="53">
        <f>C169+D169-E169</f>
        <v/>
      </c>
      <c r="G169" s="54">
        <f>F169/1000</f>
        <v/>
      </c>
      <c r="H169" s="55">
        <f>IF(F169&lt;200,"⚠️ BAIXO",IF(F169&lt;500,"📦 OK","✅ CHEIO"))</f>
        <v/>
      </c>
    </row>
    <row r="170" ht="18" customHeight="1" s="109">
      <c r="A170" s="19" t="inlineStr">
        <is>
          <t>Elegoo | PLA+ | Amarelo</t>
        </is>
      </c>
      <c r="B170" s="46" t="inlineStr">
        <is>
          <t>PLA+</t>
        </is>
      </c>
      <c r="C170" s="91" t="n">
        <v>0</v>
      </c>
      <c r="D170" s="91" t="n">
        <v>0</v>
      </c>
      <c r="E170" s="91" t="n">
        <v>0</v>
      </c>
      <c r="F170" s="53">
        <f>C170+D170-E170</f>
        <v/>
      </c>
      <c r="G170" s="54">
        <f>F170/1000</f>
        <v/>
      </c>
      <c r="H170" s="55">
        <f>IF(F170&lt;200,"⚠️ BAIXO",IF(F170&lt;500,"📦 OK","✅ CHEIO"))</f>
        <v/>
      </c>
    </row>
    <row r="171" ht="18" customHeight="1" s="109">
      <c r="A171" s="15" t="inlineStr">
        <is>
          <t>Elegoo | PLA+ | Laranja</t>
        </is>
      </c>
      <c r="B171" s="33" t="inlineStr">
        <is>
          <t>PLA+</t>
        </is>
      </c>
      <c r="C171" s="91" t="n">
        <v>0</v>
      </c>
      <c r="D171" s="91" t="n">
        <v>0</v>
      </c>
      <c r="E171" s="91" t="n">
        <v>0</v>
      </c>
      <c r="F171" s="53">
        <f>C171+D171-E171</f>
        <v/>
      </c>
      <c r="G171" s="54">
        <f>F171/1000</f>
        <v/>
      </c>
      <c r="H171" s="55">
        <f>IF(F171&lt;200,"⚠️ BAIXO",IF(F171&lt;500,"📦 OK","✅ CHEIO"))</f>
        <v/>
      </c>
    </row>
    <row r="172" ht="18" customHeight="1" s="109">
      <c r="A172" s="19" t="inlineStr">
        <is>
          <t>Elegoo | PLA+ | Azul Céu</t>
        </is>
      </c>
      <c r="B172" s="46" t="inlineStr">
        <is>
          <t>PLA+</t>
        </is>
      </c>
      <c r="C172" s="91" t="n">
        <v>0</v>
      </c>
      <c r="D172" s="91" t="n">
        <v>0</v>
      </c>
      <c r="E172" s="91" t="n">
        <v>0</v>
      </c>
      <c r="F172" s="53">
        <f>C172+D172-E172</f>
        <v/>
      </c>
      <c r="G172" s="54">
        <f>F172/1000</f>
        <v/>
      </c>
      <c r="H172" s="55">
        <f>IF(F172&lt;200,"⚠️ BAIXO",IF(F172&lt;500,"📦 OK","✅ CHEIO"))</f>
        <v/>
      </c>
    </row>
    <row r="173" ht="18" customHeight="1" s="109">
      <c r="A173" s="15" t="inlineStr">
        <is>
          <t>Elegoo | PLA+ | Verde Mar</t>
        </is>
      </c>
      <c r="B173" s="33" t="inlineStr">
        <is>
          <t>PLA+</t>
        </is>
      </c>
      <c r="C173" s="91" t="n">
        <v>0</v>
      </c>
      <c r="D173" s="91" t="n">
        <v>0</v>
      </c>
      <c r="E173" s="91" t="n">
        <v>0</v>
      </c>
      <c r="F173" s="53">
        <f>C173+D173-E173</f>
        <v/>
      </c>
      <c r="G173" s="54">
        <f>F173/1000</f>
        <v/>
      </c>
      <c r="H173" s="55">
        <f>IF(F173&lt;200,"⚠️ BAIXO",IF(F173&lt;500,"📦 OK","✅ CHEIO"))</f>
        <v/>
      </c>
    </row>
    <row r="174" ht="18" customHeight="1" s="109">
      <c r="A174" s="19" t="inlineStr">
        <is>
          <t>Elegoo | PLA+ | Cinza Espacial</t>
        </is>
      </c>
      <c r="B174" s="46" t="inlineStr">
        <is>
          <t>PLA+</t>
        </is>
      </c>
      <c r="C174" s="91" t="n">
        <v>0</v>
      </c>
      <c r="D174" s="91" t="n">
        <v>0</v>
      </c>
      <c r="E174" s="91" t="n">
        <v>0</v>
      </c>
      <c r="F174" s="53">
        <f>C174+D174-E174</f>
        <v/>
      </c>
      <c r="G174" s="54">
        <f>F174/1000</f>
        <v/>
      </c>
      <c r="H174" s="55">
        <f>IF(F174&lt;200,"⚠️ BAIXO",IF(F174&lt;500,"📦 OK","✅ CHEIO"))</f>
        <v/>
      </c>
    </row>
    <row r="175" ht="18" customHeight="1" s="109">
      <c r="A175" s="15" t="inlineStr">
        <is>
          <t>Elegoo | PLA+ | Translúcido</t>
        </is>
      </c>
      <c r="B175" s="33" t="inlineStr">
        <is>
          <t>PLA+</t>
        </is>
      </c>
      <c r="C175" s="91" t="n">
        <v>0</v>
      </c>
      <c r="D175" s="91" t="n">
        <v>0</v>
      </c>
      <c r="E175" s="91" t="n">
        <v>0</v>
      </c>
      <c r="F175" s="53">
        <f>C175+D175-E175</f>
        <v/>
      </c>
      <c r="G175" s="54">
        <f>F175/1000</f>
        <v/>
      </c>
      <c r="H175" s="55">
        <f>IF(F175&lt;200,"⚠️ BAIXO",IF(F175&lt;500,"📦 OK","✅ CHEIO"))</f>
        <v/>
      </c>
    </row>
    <row r="176" ht="18" customHeight="1" s="109">
      <c r="A176" s="19" t="inlineStr">
        <is>
          <t>Elegoo | PLA+ | Rosa</t>
        </is>
      </c>
      <c r="B176" s="46" t="inlineStr">
        <is>
          <t>PLA+</t>
        </is>
      </c>
      <c r="C176" s="91" t="n">
        <v>0</v>
      </c>
      <c r="D176" s="91" t="n">
        <v>0</v>
      </c>
      <c r="E176" s="91" t="n">
        <v>0</v>
      </c>
      <c r="F176" s="53">
        <f>C176+D176-E176</f>
        <v/>
      </c>
      <c r="G176" s="54">
        <f>F176/1000</f>
        <v/>
      </c>
      <c r="H176" s="55">
        <f>IF(F176&lt;200,"⚠️ BAIXO",IF(F176&lt;500,"📦 OK","✅ CHEIO"))</f>
        <v/>
      </c>
    </row>
    <row r="177" ht="18" customHeight="1" s="109">
      <c r="A177" s="15" t="inlineStr">
        <is>
          <t>Elegoo | PLA+ | Roxo</t>
        </is>
      </c>
      <c r="B177" s="33" t="inlineStr">
        <is>
          <t>PLA+</t>
        </is>
      </c>
      <c r="C177" s="91" t="n">
        <v>0</v>
      </c>
      <c r="D177" s="91" t="n">
        <v>0</v>
      </c>
      <c r="E177" s="91" t="n">
        <v>0</v>
      </c>
      <c r="F177" s="53">
        <f>C177+D177-E177</f>
        <v/>
      </c>
      <c r="G177" s="54">
        <f>F177/1000</f>
        <v/>
      </c>
      <c r="H177" s="55">
        <f>IF(F177&lt;200,"⚠️ BAIXO",IF(F177&lt;500,"📦 OK","✅ CHEIO"))</f>
        <v/>
      </c>
    </row>
    <row r="178" ht="18" customHeight="1" s="109">
      <c r="A178" s="19" t="inlineStr">
        <is>
          <t>Elegoo | PLA+ | Bege</t>
        </is>
      </c>
      <c r="B178" s="46" t="inlineStr">
        <is>
          <t>PLA+</t>
        </is>
      </c>
      <c r="C178" s="91" t="n">
        <v>0</v>
      </c>
      <c r="D178" s="91" t="n">
        <v>0</v>
      </c>
      <c r="E178" s="91" t="n">
        <v>0</v>
      </c>
      <c r="F178" s="53">
        <f>C178+D178-E178</f>
        <v/>
      </c>
      <c r="G178" s="54">
        <f>F178/1000</f>
        <v/>
      </c>
      <c r="H178" s="55">
        <f>IF(F178&lt;200,"⚠️ BAIXO",IF(F178&lt;500,"📦 OK","✅ CHEIO"))</f>
        <v/>
      </c>
    </row>
    <row r="179" ht="18" customHeight="1" s="109">
      <c r="A179" s="15" t="inlineStr">
        <is>
          <t>Elegoo | PLA+ | Cor Madeira</t>
        </is>
      </c>
      <c r="B179" s="33" t="inlineStr">
        <is>
          <t>PLA+</t>
        </is>
      </c>
      <c r="C179" s="91" t="n">
        <v>0</v>
      </c>
      <c r="D179" s="91" t="n">
        <v>0</v>
      </c>
      <c r="E179" s="91" t="n">
        <v>0</v>
      </c>
      <c r="F179" s="53">
        <f>C179+D179-E179</f>
        <v/>
      </c>
      <c r="G179" s="54">
        <f>F179/1000</f>
        <v/>
      </c>
      <c r="H179" s="55">
        <f>IF(F179&lt;200,"⚠️ BAIXO",IF(F179&lt;500,"📦 OK","✅ CHEIO"))</f>
        <v/>
      </c>
    </row>
    <row r="180" ht="18" customHeight="1" s="109">
      <c r="A180" s="19" t="inlineStr">
        <is>
          <t>Elegoo | PLA+ | Marrom</t>
        </is>
      </c>
      <c r="B180" s="46" t="inlineStr">
        <is>
          <t>PLA+</t>
        </is>
      </c>
      <c r="C180" s="91" t="n">
        <v>0</v>
      </c>
      <c r="D180" s="91" t="n">
        <v>0</v>
      </c>
      <c r="E180" s="91" t="n">
        <v>0</v>
      </c>
      <c r="F180" s="53">
        <f>C180+D180-E180</f>
        <v/>
      </c>
      <c r="G180" s="54">
        <f>F180/1000</f>
        <v/>
      </c>
      <c r="H180" s="55">
        <f>IF(F180&lt;200,"⚠️ BAIXO",IF(F180&lt;500,"📦 OK","✅ CHEIO"))</f>
        <v/>
      </c>
    </row>
    <row r="181" ht="18" customHeight="1" s="109">
      <c r="A181" s="15" t="inlineStr">
        <is>
          <t>Elegoo | Rapid PLA+ | Preto</t>
        </is>
      </c>
      <c r="B181" s="33" t="inlineStr">
        <is>
          <t>Rapid PLA+</t>
        </is>
      </c>
      <c r="C181" s="91" t="n">
        <v>0</v>
      </c>
      <c r="D181" s="91" t="n">
        <v>0</v>
      </c>
      <c r="E181" s="91" t="n">
        <v>0</v>
      </c>
      <c r="F181" s="53">
        <f>C181+D181-E181</f>
        <v/>
      </c>
      <c r="G181" s="54">
        <f>F181/1000</f>
        <v/>
      </c>
      <c r="H181" s="55">
        <f>IF(F181&lt;200,"⚠️ BAIXO",IF(F181&lt;500,"📦 OK","✅ CHEIO"))</f>
        <v/>
      </c>
    </row>
    <row r="182" ht="18" customHeight="1" s="109">
      <c r="A182" s="19" t="inlineStr">
        <is>
          <t>Elegoo | Rapid PLA+ | Branco</t>
        </is>
      </c>
      <c r="B182" s="46" t="inlineStr">
        <is>
          <t>Rapid PLA+</t>
        </is>
      </c>
      <c r="C182" s="91" t="n">
        <v>0</v>
      </c>
      <c r="D182" s="91" t="n">
        <v>0</v>
      </c>
      <c r="E182" s="91" t="n">
        <v>0</v>
      </c>
      <c r="F182" s="53">
        <f>C182+D182-E182</f>
        <v/>
      </c>
      <c r="G182" s="54">
        <f>F182/1000</f>
        <v/>
      </c>
      <c r="H182" s="55">
        <f>IF(F182&lt;200,"⚠️ BAIXO",IF(F182&lt;500,"📦 OK","✅ CHEIO"))</f>
        <v/>
      </c>
    </row>
    <row r="183" ht="18" customHeight="1" s="109">
      <c r="A183" s="15" t="inlineStr">
        <is>
          <t>Elegoo | Rapid PLA+ | Cinza</t>
        </is>
      </c>
      <c r="B183" s="33" t="inlineStr">
        <is>
          <t>Rapid PLA+</t>
        </is>
      </c>
      <c r="C183" s="91" t="n">
        <v>0</v>
      </c>
      <c r="D183" s="91" t="n">
        <v>0</v>
      </c>
      <c r="E183" s="91" t="n">
        <v>0</v>
      </c>
      <c r="F183" s="53">
        <f>C183+D183-E183</f>
        <v/>
      </c>
      <c r="G183" s="54">
        <f>F183/1000</f>
        <v/>
      </c>
      <c r="H183" s="55">
        <f>IF(F183&lt;200,"⚠️ BAIXO",IF(F183&lt;500,"📦 OK","✅ CHEIO"))</f>
        <v/>
      </c>
    </row>
    <row r="184" ht="18" customHeight="1" s="109">
      <c r="A184" s="19" t="inlineStr">
        <is>
          <t>Elegoo | Rapid PLA+ | Vermelho</t>
        </is>
      </c>
      <c r="B184" s="46" t="inlineStr">
        <is>
          <t>Rapid PLA+</t>
        </is>
      </c>
      <c r="C184" s="91" t="n">
        <v>0</v>
      </c>
      <c r="D184" s="91" t="n">
        <v>0</v>
      </c>
      <c r="E184" s="91" t="n">
        <v>0</v>
      </c>
      <c r="F184" s="53">
        <f>C184+D184-E184</f>
        <v/>
      </c>
      <c r="G184" s="54">
        <f>F184/1000</f>
        <v/>
      </c>
      <c r="H184" s="55">
        <f>IF(F184&lt;200,"⚠️ BAIXO",IF(F184&lt;500,"📦 OK","✅ CHEIO"))</f>
        <v/>
      </c>
    </row>
    <row r="185" ht="18" customHeight="1" s="109">
      <c r="A185" s="15" t="inlineStr">
        <is>
          <t>Elegoo | Rapid PLA+ | Azul</t>
        </is>
      </c>
      <c r="B185" s="33" t="inlineStr">
        <is>
          <t>Rapid PLA+</t>
        </is>
      </c>
      <c r="C185" s="91" t="n">
        <v>0</v>
      </c>
      <c r="D185" s="91" t="n">
        <v>0</v>
      </c>
      <c r="E185" s="91" t="n">
        <v>0</v>
      </c>
      <c r="F185" s="53">
        <f>C185+D185-E185</f>
        <v/>
      </c>
      <c r="G185" s="54">
        <f>F185/1000</f>
        <v/>
      </c>
      <c r="H185" s="55">
        <f>IF(F185&lt;200,"⚠️ BAIXO",IF(F185&lt;500,"📦 OK","✅ CHEIO"))</f>
        <v/>
      </c>
    </row>
    <row r="186" ht="18" customHeight="1" s="109">
      <c r="A186" s="19" t="inlineStr">
        <is>
          <t>Elegoo | Rapid PLA+ | Verde</t>
        </is>
      </c>
      <c r="B186" s="46" t="inlineStr">
        <is>
          <t>Rapid PLA+</t>
        </is>
      </c>
      <c r="C186" s="91" t="n">
        <v>0</v>
      </c>
      <c r="D186" s="91" t="n">
        <v>0</v>
      </c>
      <c r="E186" s="91" t="n">
        <v>0</v>
      </c>
      <c r="F186" s="53">
        <f>C186+D186-E186</f>
        <v/>
      </c>
      <c r="G186" s="54">
        <f>F186/1000</f>
        <v/>
      </c>
      <c r="H186" s="55">
        <f>IF(F186&lt;200,"⚠️ BAIXO",IF(F186&lt;500,"📦 OK","✅ CHEIO"))</f>
        <v/>
      </c>
    </row>
    <row r="187" ht="18" customHeight="1" s="109">
      <c r="A187" s="15" t="inlineStr">
        <is>
          <t>Elegoo | Rapid PLA+ | Amarelo</t>
        </is>
      </c>
      <c r="B187" s="33" t="inlineStr">
        <is>
          <t>Rapid PLA+</t>
        </is>
      </c>
      <c r="C187" s="91" t="n">
        <v>0</v>
      </c>
      <c r="D187" s="91" t="n">
        <v>0</v>
      </c>
      <c r="E187" s="91" t="n">
        <v>0</v>
      </c>
      <c r="F187" s="53">
        <f>C187+D187-E187</f>
        <v/>
      </c>
      <c r="G187" s="54">
        <f>F187/1000</f>
        <v/>
      </c>
      <c r="H187" s="55">
        <f>IF(F187&lt;200,"⚠️ BAIXO",IF(F187&lt;500,"📦 OK","✅ CHEIO"))</f>
        <v/>
      </c>
    </row>
    <row r="188" ht="18" customHeight="1" s="109">
      <c r="A188" s="19" t="inlineStr">
        <is>
          <t>Elegoo | PLA Silk | Azul Magenta</t>
        </is>
      </c>
      <c r="B188" s="46" t="inlineStr">
        <is>
          <t>PLA Silk</t>
        </is>
      </c>
      <c r="C188" s="91" t="n">
        <v>0</v>
      </c>
      <c r="D188" s="91" t="n">
        <v>0</v>
      </c>
      <c r="E188" s="91" t="n">
        <v>0</v>
      </c>
      <c r="F188" s="53">
        <f>C188+D188-E188</f>
        <v/>
      </c>
      <c r="G188" s="54">
        <f>F188/1000</f>
        <v/>
      </c>
      <c r="H188" s="55">
        <f>IF(F188&lt;200,"⚠️ BAIXO",IF(F188&lt;500,"📦 OK","✅ CHEIO"))</f>
        <v/>
      </c>
    </row>
    <row r="189" ht="18" customHeight="1" s="109">
      <c r="A189" s="15" t="inlineStr">
        <is>
          <t>Elegoo | PLA Silk | Verde Vermelho</t>
        </is>
      </c>
      <c r="B189" s="33" t="inlineStr">
        <is>
          <t>PLA Silk</t>
        </is>
      </c>
      <c r="C189" s="91" t="n">
        <v>0</v>
      </c>
      <c r="D189" s="91" t="n">
        <v>0</v>
      </c>
      <c r="E189" s="91" t="n">
        <v>0</v>
      </c>
      <c r="F189" s="53">
        <f>C189+D189-E189</f>
        <v/>
      </c>
      <c r="G189" s="54">
        <f>F189/1000</f>
        <v/>
      </c>
      <c r="H189" s="55">
        <f>IF(F189&lt;200,"⚠️ BAIXO",IF(F189&lt;500,"📦 OK","✅ CHEIO"))</f>
        <v/>
      </c>
    </row>
    <row r="190" ht="18" customHeight="1" s="109">
      <c r="A190" s="19" t="inlineStr">
        <is>
          <t>Elegoo | PLA Silk | Dourado</t>
        </is>
      </c>
      <c r="B190" s="46" t="inlineStr">
        <is>
          <t>PLA Silk</t>
        </is>
      </c>
      <c r="C190" s="91" t="n">
        <v>0</v>
      </c>
      <c r="D190" s="91" t="n">
        <v>0</v>
      </c>
      <c r="E190" s="91" t="n">
        <v>0</v>
      </c>
      <c r="F190" s="53">
        <f>C190+D190-E190</f>
        <v/>
      </c>
      <c r="G190" s="54">
        <f>F190/1000</f>
        <v/>
      </c>
      <c r="H190" s="55">
        <f>IF(F190&lt;200,"⚠️ BAIXO",IF(F190&lt;500,"📦 OK","✅ CHEIO"))</f>
        <v/>
      </c>
    </row>
    <row r="191" ht="18" customHeight="1" s="109">
      <c r="A191" s="15" t="inlineStr">
        <is>
          <t>Elegoo | PLA Silk | Prata Cinza</t>
        </is>
      </c>
      <c r="B191" s="33" t="inlineStr">
        <is>
          <t>PLA Silk</t>
        </is>
      </c>
      <c r="C191" s="91" t="n">
        <v>0</v>
      </c>
      <c r="D191" s="91" t="n">
        <v>0</v>
      </c>
      <c r="E191" s="91" t="n">
        <v>0</v>
      </c>
      <c r="F191" s="53">
        <f>C191+D191-E191</f>
        <v/>
      </c>
      <c r="G191" s="54">
        <f>F191/1000</f>
        <v/>
      </c>
      <c r="H191" s="55">
        <f>IF(F191&lt;200,"⚠️ BAIXO",IF(F191&lt;500,"📦 OK","✅ CHEIO"))</f>
        <v/>
      </c>
    </row>
    <row r="192" ht="18" customHeight="1" s="109">
      <c r="A192" s="19" t="inlineStr">
        <is>
          <t>Elegoo | PLA Silk | Cobre</t>
        </is>
      </c>
      <c r="B192" s="46" t="inlineStr">
        <is>
          <t>PLA Silk</t>
        </is>
      </c>
      <c r="C192" s="91" t="n">
        <v>0</v>
      </c>
      <c r="D192" s="91" t="n">
        <v>0</v>
      </c>
      <c r="E192" s="91" t="n">
        <v>0</v>
      </c>
      <c r="F192" s="53">
        <f>C192+D192-E192</f>
        <v/>
      </c>
      <c r="G192" s="54">
        <f>F192/1000</f>
        <v/>
      </c>
      <c r="H192" s="55">
        <f>IF(F192&lt;200,"⚠️ BAIXO",IF(F192&lt;500,"📦 OK","✅ CHEIO"))</f>
        <v/>
      </c>
    </row>
    <row r="193" ht="18" customHeight="1" s="109">
      <c r="A193" s="15" t="inlineStr">
        <is>
          <t>Elegoo | PLA Silk | Branco</t>
        </is>
      </c>
      <c r="B193" s="33" t="inlineStr">
        <is>
          <t>PLA Silk</t>
        </is>
      </c>
      <c r="C193" s="91" t="n">
        <v>0</v>
      </c>
      <c r="D193" s="91" t="n">
        <v>0</v>
      </c>
      <c r="E193" s="91" t="n">
        <v>0</v>
      </c>
      <c r="F193" s="53">
        <f>C193+D193-E193</f>
        <v/>
      </c>
      <c r="G193" s="54">
        <f>F193/1000</f>
        <v/>
      </c>
      <c r="H193" s="55">
        <f>IF(F193&lt;200,"⚠️ BAIXO",IF(F193&lt;500,"📦 OK","✅ CHEIO"))</f>
        <v/>
      </c>
    </row>
    <row r="194" ht="18" customHeight="1" s="109">
      <c r="A194" s="19" t="inlineStr">
        <is>
          <t>Elegoo | PLA Silk | Coral Rosa</t>
        </is>
      </c>
      <c r="B194" s="46" t="inlineStr">
        <is>
          <t>PLA Silk</t>
        </is>
      </c>
      <c r="C194" s="91" t="n">
        <v>0</v>
      </c>
      <c r="D194" s="91" t="n">
        <v>0</v>
      </c>
      <c r="E194" s="91" t="n">
        <v>0</v>
      </c>
      <c r="F194" s="53">
        <f>C194+D194-E194</f>
        <v/>
      </c>
      <c r="G194" s="54">
        <f>F194/1000</f>
        <v/>
      </c>
      <c r="H194" s="55">
        <f>IF(F194&lt;200,"⚠️ BAIXO",IF(F194&lt;500,"📦 OK","✅ CHEIO"))</f>
        <v/>
      </c>
    </row>
    <row r="195" ht="18" customHeight="1" s="109">
      <c r="A195" s="15" t="inlineStr">
        <is>
          <t>Elegoo | PLA Silk | Menta Verde</t>
        </is>
      </c>
      <c r="B195" s="33" t="inlineStr">
        <is>
          <t>PLA Silk</t>
        </is>
      </c>
      <c r="C195" s="91" t="n">
        <v>0</v>
      </c>
      <c r="D195" s="91" t="n">
        <v>0</v>
      </c>
      <c r="E195" s="91" t="n">
        <v>0</v>
      </c>
      <c r="F195" s="53">
        <f>C195+D195-E195</f>
        <v/>
      </c>
      <c r="G195" s="54">
        <f>F195/1000</f>
        <v/>
      </c>
      <c r="H195" s="55">
        <f>IF(F195&lt;200,"⚠️ BAIXO",IF(F195&lt;500,"📦 OK","✅ CHEIO"))</f>
        <v/>
      </c>
    </row>
    <row r="196" ht="18" customHeight="1" s="109">
      <c r="A196" s="19" t="inlineStr">
        <is>
          <t>Elegoo | PLA Silk | Holly Green</t>
        </is>
      </c>
      <c r="B196" s="46" t="inlineStr">
        <is>
          <t>PLA Silk</t>
        </is>
      </c>
      <c r="C196" s="91" t="n">
        <v>0</v>
      </c>
      <c r="D196" s="91" t="n">
        <v>0</v>
      </c>
      <c r="E196" s="91" t="n">
        <v>0</v>
      </c>
      <c r="F196" s="53">
        <f>C196+D196-E196</f>
        <v/>
      </c>
      <c r="G196" s="54">
        <f>F196/1000</f>
        <v/>
      </c>
      <c r="H196" s="55">
        <f>IF(F196&lt;200,"⚠️ BAIXO",IF(F196&lt;500,"📦 OK","✅ CHEIO"))</f>
        <v/>
      </c>
    </row>
    <row r="197" ht="18" customHeight="1" s="109">
      <c r="A197" s="15" t="inlineStr">
        <is>
          <t>Elegoo | PLA Silk | Vermelho</t>
        </is>
      </c>
      <c r="B197" s="33" t="inlineStr">
        <is>
          <t>PLA Silk</t>
        </is>
      </c>
      <c r="C197" s="91" t="n">
        <v>0</v>
      </c>
      <c r="D197" s="91" t="n">
        <v>0</v>
      </c>
      <c r="E197" s="91" t="n">
        <v>0</v>
      </c>
      <c r="F197" s="53">
        <f>C197+D197-E197</f>
        <v/>
      </c>
      <c r="G197" s="54">
        <f>F197/1000</f>
        <v/>
      </c>
      <c r="H197" s="55">
        <f>IF(F197&lt;200,"⚠️ BAIXO",IF(F197&lt;500,"📦 OK","✅ CHEIO"))</f>
        <v/>
      </c>
    </row>
    <row r="198" ht="18" customHeight="1" s="109">
      <c r="A198" s="19" t="inlineStr">
        <is>
          <t>Elegoo | PLA Silk | Preto</t>
        </is>
      </c>
      <c r="B198" s="46" t="inlineStr">
        <is>
          <t>PLA Silk</t>
        </is>
      </c>
      <c r="C198" s="91" t="n">
        <v>0</v>
      </c>
      <c r="D198" s="91" t="n">
        <v>0</v>
      </c>
      <c r="E198" s="91" t="n">
        <v>0</v>
      </c>
      <c r="F198" s="53">
        <f>C198+D198-E198</f>
        <v/>
      </c>
      <c r="G198" s="54">
        <f>F198/1000</f>
        <v/>
      </c>
      <c r="H198" s="55">
        <f>IF(F198&lt;200,"⚠️ BAIXO",IF(F198&lt;500,"📦 OK","✅ CHEIO"))</f>
        <v/>
      </c>
    </row>
    <row r="199" ht="18" customHeight="1" s="109">
      <c r="A199" s="15" t="inlineStr">
        <is>
          <t>Elegoo | PLA Silk | Vermelho Preto</t>
        </is>
      </c>
      <c r="B199" s="33" t="inlineStr">
        <is>
          <t>PLA Silk</t>
        </is>
      </c>
      <c r="C199" s="91" t="n">
        <v>0</v>
      </c>
      <c r="D199" s="91" t="n">
        <v>0</v>
      </c>
      <c r="E199" s="91" t="n">
        <v>0</v>
      </c>
      <c r="F199" s="53">
        <f>C199+D199-E199</f>
        <v/>
      </c>
      <c r="G199" s="54">
        <f>F199/1000</f>
        <v/>
      </c>
      <c r="H199" s="55">
        <f>IF(F199&lt;200,"⚠️ BAIXO",IF(F199&lt;500,"📦 OK","✅ CHEIO"))</f>
        <v/>
      </c>
    </row>
    <row r="200" ht="18" customHeight="1" s="109">
      <c r="A200" s="19" t="inlineStr">
        <is>
          <t>Elegoo | PLA Silk | Roxo Preto</t>
        </is>
      </c>
      <c r="B200" s="46" t="inlineStr">
        <is>
          <t>PLA Silk</t>
        </is>
      </c>
      <c r="C200" s="91" t="n">
        <v>0</v>
      </c>
      <c r="D200" s="91" t="n">
        <v>0</v>
      </c>
      <c r="E200" s="91" t="n">
        <v>0</v>
      </c>
      <c r="F200" s="53">
        <f>C200+D200-E200</f>
        <v/>
      </c>
      <c r="G200" s="54">
        <f>F200/1000</f>
        <v/>
      </c>
      <c r="H200" s="55">
        <f>IF(F200&lt;200,"⚠️ BAIXO",IF(F200&lt;500,"📦 OK","✅ CHEIO"))</f>
        <v/>
      </c>
    </row>
    <row r="201" ht="18" customHeight="1" s="109">
      <c r="A201" s="15" t="inlineStr">
        <is>
          <t>Elegoo | PLA Silk | Azul Verde</t>
        </is>
      </c>
      <c r="B201" s="33" t="inlineStr">
        <is>
          <t>PLA Silk</t>
        </is>
      </c>
      <c r="C201" s="91" t="n">
        <v>0</v>
      </c>
      <c r="D201" s="91" t="n">
        <v>0</v>
      </c>
      <c r="E201" s="91" t="n">
        <v>0</v>
      </c>
      <c r="F201" s="53">
        <f>C201+D201-E201</f>
        <v/>
      </c>
      <c r="G201" s="54">
        <f>F201/1000</f>
        <v/>
      </c>
      <c r="H201" s="55">
        <f>IF(F201&lt;200,"⚠️ BAIXO",IF(F201&lt;500,"📦 OK","✅ CHEIO"))</f>
        <v/>
      </c>
    </row>
    <row r="202" ht="18" customHeight="1" s="109">
      <c r="A202" s="19" t="inlineStr">
        <is>
          <t>Elegoo | PLA Silk | Azul Roxo Preto</t>
        </is>
      </c>
      <c r="B202" s="46" t="inlineStr">
        <is>
          <t>PLA Silk</t>
        </is>
      </c>
      <c r="C202" s="91" t="n">
        <v>0</v>
      </c>
      <c r="D202" s="91" t="n">
        <v>0</v>
      </c>
      <c r="E202" s="91" t="n">
        <v>0</v>
      </c>
      <c r="F202" s="53">
        <f>C202+D202-E202</f>
        <v/>
      </c>
      <c r="G202" s="54">
        <f>F202/1000</f>
        <v/>
      </c>
      <c r="H202" s="55">
        <f>IF(F202&lt;200,"⚠️ BAIXO",IF(F202&lt;500,"📦 OK","✅ CHEIO"))</f>
        <v/>
      </c>
    </row>
    <row r="203" ht="18" customHeight="1" s="109">
      <c r="A203" s="15" t="inlineStr">
        <is>
          <t>Elegoo | PLA Silk | Azul Verde Laranja</t>
        </is>
      </c>
      <c r="B203" s="33" t="inlineStr">
        <is>
          <t>PLA Silk</t>
        </is>
      </c>
      <c r="C203" s="91" t="n">
        <v>0</v>
      </c>
      <c r="D203" s="91" t="n">
        <v>0</v>
      </c>
      <c r="E203" s="91" t="n">
        <v>0</v>
      </c>
      <c r="F203" s="53">
        <f>C203+D203-E203</f>
        <v/>
      </c>
      <c r="G203" s="54">
        <f>F203/1000</f>
        <v/>
      </c>
      <c r="H203" s="55">
        <f>IF(F203&lt;200,"⚠️ BAIXO",IF(F203&lt;500,"📦 OK","✅ CHEIO"))</f>
        <v/>
      </c>
    </row>
    <row r="204" ht="18" customHeight="1" s="109">
      <c r="A204" s="19" t="inlineStr">
        <is>
          <t>Elegoo | PLA Silk | Amarelo Roxo</t>
        </is>
      </c>
      <c r="B204" s="46" t="inlineStr">
        <is>
          <t>PLA Silk</t>
        </is>
      </c>
      <c r="C204" s="91" t="n">
        <v>0</v>
      </c>
      <c r="D204" s="91" t="n">
        <v>0</v>
      </c>
      <c r="E204" s="91" t="n">
        <v>0</v>
      </c>
      <c r="F204" s="53">
        <f>C204+D204-E204</f>
        <v/>
      </c>
      <c r="G204" s="54">
        <f>F204/1000</f>
        <v/>
      </c>
      <c r="H204" s="55">
        <f>IF(F204&lt;200,"⚠️ BAIXO",IF(F204&lt;500,"📦 OK","✅ CHEIO"))</f>
        <v/>
      </c>
    </row>
    <row r="205" ht="18" customHeight="1" s="109">
      <c r="A205" s="15" t="inlineStr">
        <is>
          <t>Elegoo | PLA Silk | Preto Verde</t>
        </is>
      </c>
      <c r="B205" s="33" t="inlineStr">
        <is>
          <t>PLA Silk</t>
        </is>
      </c>
      <c r="C205" s="91" t="n">
        <v>0</v>
      </c>
      <c r="D205" s="91" t="n">
        <v>0</v>
      </c>
      <c r="E205" s="91" t="n">
        <v>0</v>
      </c>
      <c r="F205" s="53">
        <f>C205+D205-E205</f>
        <v/>
      </c>
      <c r="G205" s="54">
        <f>F205/1000</f>
        <v/>
      </c>
      <c r="H205" s="55">
        <f>IF(F205&lt;200,"⚠️ BAIXO",IF(F205&lt;500,"📦 OK","✅ CHEIO"))</f>
        <v/>
      </c>
    </row>
    <row r="206" ht="18" customHeight="1" s="109">
      <c r="A206" s="19" t="inlineStr">
        <is>
          <t>Elegoo | PLA Silk | Azul Roxo</t>
        </is>
      </c>
      <c r="B206" s="46" t="inlineStr">
        <is>
          <t>PLA Silk</t>
        </is>
      </c>
      <c r="C206" s="91" t="n">
        <v>0</v>
      </c>
      <c r="D206" s="91" t="n">
        <v>0</v>
      </c>
      <c r="E206" s="91" t="n">
        <v>0</v>
      </c>
      <c r="F206" s="53">
        <f>C206+D206-E206</f>
        <v/>
      </c>
      <c r="G206" s="54">
        <f>F206/1000</f>
        <v/>
      </c>
      <c r="H206" s="55">
        <f>IF(F206&lt;200,"⚠️ BAIXO",IF(F206&lt;500,"📦 OK","✅ CHEIO"))</f>
        <v/>
      </c>
    </row>
    <row r="207" ht="18" customHeight="1" s="109">
      <c r="A207" s="15" t="inlineStr">
        <is>
          <t>Elegoo | PLA Silk | Azul Céu</t>
        </is>
      </c>
      <c r="B207" s="33" t="inlineStr">
        <is>
          <t>PLA Silk</t>
        </is>
      </c>
      <c r="C207" s="91" t="n">
        <v>0</v>
      </c>
      <c r="D207" s="91" t="n">
        <v>0</v>
      </c>
      <c r="E207" s="91" t="n">
        <v>0</v>
      </c>
      <c r="F207" s="53">
        <f>C207+D207-E207</f>
        <v/>
      </c>
      <c r="G207" s="54">
        <f>F207/1000</f>
        <v/>
      </c>
      <c r="H207" s="55">
        <f>IF(F207&lt;200,"⚠️ BAIXO",IF(F207&lt;500,"📦 OK","✅ CHEIO"))</f>
        <v/>
      </c>
    </row>
    <row r="208" ht="18" customHeight="1" s="109">
      <c r="A208" s="19" t="inlineStr">
        <is>
          <t>Elegoo | PLA Silk | Roxo Azulado</t>
        </is>
      </c>
      <c r="B208" s="46" t="inlineStr">
        <is>
          <t>PLA Silk</t>
        </is>
      </c>
      <c r="C208" s="91" t="n">
        <v>0</v>
      </c>
      <c r="D208" s="91" t="n">
        <v>0</v>
      </c>
      <c r="E208" s="91" t="n">
        <v>0</v>
      </c>
      <c r="F208" s="53">
        <f>C208+D208-E208</f>
        <v/>
      </c>
      <c r="G208" s="54">
        <f>F208/1000</f>
        <v/>
      </c>
      <c r="H208" s="55">
        <f>IF(F208&lt;200,"⚠️ BAIXO",IF(F208&lt;500,"📦 OK","✅ CHEIO"))</f>
        <v/>
      </c>
    </row>
    <row r="209" ht="18" customHeight="1" s="109">
      <c r="A209" s="15" t="inlineStr">
        <is>
          <t>Elegoo | PLA Silk | Pêssego Rosa</t>
        </is>
      </c>
      <c r="B209" s="33" t="inlineStr">
        <is>
          <t>PLA Silk</t>
        </is>
      </c>
      <c r="C209" s="91" t="n">
        <v>0</v>
      </c>
      <c r="D209" s="91" t="n">
        <v>0</v>
      </c>
      <c r="E209" s="91" t="n">
        <v>0</v>
      </c>
      <c r="F209" s="53">
        <f>C209+D209-E209</f>
        <v/>
      </c>
      <c r="G209" s="54">
        <f>F209/1000</f>
        <v/>
      </c>
      <c r="H209" s="55">
        <f>IF(F209&lt;200,"⚠️ BAIXO",IF(F209&lt;500,"📦 OK","✅ CHEIO"))</f>
        <v/>
      </c>
    </row>
    <row r="210" ht="18" customHeight="1" s="109">
      <c r="A210" s="19" t="inlineStr">
        <is>
          <t>Elegoo | PLA Silk | Vermelho Puro</t>
        </is>
      </c>
      <c r="B210" s="46" t="inlineStr">
        <is>
          <t>PLA Silk</t>
        </is>
      </c>
      <c r="C210" s="91" t="n">
        <v>0</v>
      </c>
      <c r="D210" s="91" t="n">
        <v>0</v>
      </c>
      <c r="E210" s="91" t="n">
        <v>0</v>
      </c>
      <c r="F210" s="53">
        <f>C210+D210-E210</f>
        <v/>
      </c>
      <c r="G210" s="54">
        <f>F210/1000</f>
        <v/>
      </c>
      <c r="H210" s="55">
        <f>IF(F210&lt;200,"⚠️ BAIXO",IF(F210&lt;500,"📦 OK","✅ CHEIO"))</f>
        <v/>
      </c>
    </row>
    <row r="211" ht="18" customHeight="1" s="109">
      <c r="A211" s="15" t="inlineStr">
        <is>
          <t>Elegoo | PLA Matte | Azul Marinho</t>
        </is>
      </c>
      <c r="B211" s="33" t="inlineStr">
        <is>
          <t>PLA Matte</t>
        </is>
      </c>
      <c r="C211" s="91" t="n">
        <v>0</v>
      </c>
      <c r="D211" s="91" t="n">
        <v>0</v>
      </c>
      <c r="E211" s="91" t="n">
        <v>0</v>
      </c>
      <c r="F211" s="53">
        <f>C211+D211-E211</f>
        <v/>
      </c>
      <c r="G211" s="54">
        <f>F211/1000</f>
        <v/>
      </c>
      <c r="H211" s="55">
        <f>IF(F211&lt;200,"⚠️ BAIXO",IF(F211&lt;500,"📦 OK","✅ CHEIO"))</f>
        <v/>
      </c>
    </row>
    <row r="212" ht="18" customHeight="1" s="109">
      <c r="A212" s="19" t="inlineStr">
        <is>
          <t>Elegoo | PLA Matte | Preto Fosco</t>
        </is>
      </c>
      <c r="B212" s="46" t="inlineStr">
        <is>
          <t>PLA Matte</t>
        </is>
      </c>
      <c r="C212" s="91" t="n">
        <v>0</v>
      </c>
      <c r="D212" s="91" t="n">
        <v>0</v>
      </c>
      <c r="E212" s="91" t="n">
        <v>0</v>
      </c>
      <c r="F212" s="53">
        <f>C212+D212-E212</f>
        <v/>
      </c>
      <c r="G212" s="54">
        <f>F212/1000</f>
        <v/>
      </c>
      <c r="H212" s="55">
        <f>IF(F212&lt;200,"⚠️ BAIXO",IF(F212&lt;500,"📦 OK","✅ CHEIO"))</f>
        <v/>
      </c>
    </row>
    <row r="213" ht="18" customHeight="1" s="109">
      <c r="A213" s="15" t="inlineStr">
        <is>
          <t>Elegoo | PLA Matte | Branco Fosco</t>
        </is>
      </c>
      <c r="B213" s="33" t="inlineStr">
        <is>
          <t>PLA Matte</t>
        </is>
      </c>
      <c r="C213" s="91" t="n">
        <v>0</v>
      </c>
      <c r="D213" s="91" t="n">
        <v>0</v>
      </c>
      <c r="E213" s="91" t="n">
        <v>0</v>
      </c>
      <c r="F213" s="53">
        <f>C213+D213-E213</f>
        <v/>
      </c>
      <c r="G213" s="54">
        <f>F213/1000</f>
        <v/>
      </c>
      <c r="H213" s="55">
        <f>IF(F213&lt;200,"⚠️ BAIXO",IF(F213&lt;500,"📦 OK","✅ CHEIO"))</f>
        <v/>
      </c>
    </row>
    <row r="214" ht="18" customHeight="1" s="109">
      <c r="A214" s="19" t="inlineStr">
        <is>
          <t>Elegoo | PLA Matte | Vermelho Rubi</t>
        </is>
      </c>
      <c r="B214" s="46" t="inlineStr">
        <is>
          <t>PLA Matte</t>
        </is>
      </c>
      <c r="C214" s="91" t="n">
        <v>0</v>
      </c>
      <c r="D214" s="91" t="n">
        <v>0</v>
      </c>
      <c r="E214" s="91" t="n">
        <v>0</v>
      </c>
      <c r="F214" s="53">
        <f>C214+D214-E214</f>
        <v/>
      </c>
      <c r="G214" s="54">
        <f>F214/1000</f>
        <v/>
      </c>
      <c r="H214" s="55">
        <f>IF(F214&lt;200,"⚠️ BAIXO",IF(F214&lt;500,"📦 OK","✅ CHEIO"))</f>
        <v/>
      </c>
    </row>
    <row r="215" ht="18" customHeight="1" s="109">
      <c r="A215" s="15" t="inlineStr">
        <is>
          <t>Elegoo | PLA Matte | Verde Teal</t>
        </is>
      </c>
      <c r="B215" s="33" t="inlineStr">
        <is>
          <t>PLA Matte</t>
        </is>
      </c>
      <c r="C215" s="91" t="n">
        <v>0</v>
      </c>
      <c r="D215" s="91" t="n">
        <v>0</v>
      </c>
      <c r="E215" s="91" t="n">
        <v>0</v>
      </c>
      <c r="F215" s="53">
        <f>C215+D215-E215</f>
        <v/>
      </c>
      <c r="G215" s="54">
        <f>F215/1000</f>
        <v/>
      </c>
      <c r="H215" s="55">
        <f>IF(F215&lt;200,"⚠️ BAIXO",IF(F215&lt;500,"📦 OK","✅ CHEIO"))</f>
        <v/>
      </c>
    </row>
    <row r="216" ht="18" customHeight="1" s="109">
      <c r="A216" s="19" t="inlineStr">
        <is>
          <t>Elegoo | PLA Matte | Amarelo Sol</t>
        </is>
      </c>
      <c r="B216" s="46" t="inlineStr">
        <is>
          <t>PLA Matte</t>
        </is>
      </c>
      <c r="C216" s="91" t="n">
        <v>0</v>
      </c>
      <c r="D216" s="91" t="n">
        <v>0</v>
      </c>
      <c r="E216" s="91" t="n">
        <v>0</v>
      </c>
      <c r="F216" s="53">
        <f>C216+D216-E216</f>
        <v/>
      </c>
      <c r="G216" s="54">
        <f>F216/1000</f>
        <v/>
      </c>
      <c r="H216" s="55">
        <f>IF(F216&lt;200,"⚠️ BAIXO",IF(F216&lt;500,"📦 OK","✅ CHEIO"))</f>
        <v/>
      </c>
    </row>
    <row r="217" ht="18" customHeight="1" s="109">
      <c r="A217" s="15" t="inlineStr">
        <is>
          <t>Elegoo | PLA Matte | Cinza Ardósia</t>
        </is>
      </c>
      <c r="B217" s="33" t="inlineStr">
        <is>
          <t>PLA Matte</t>
        </is>
      </c>
      <c r="C217" s="91" t="n">
        <v>0</v>
      </c>
      <c r="D217" s="91" t="n">
        <v>0</v>
      </c>
      <c r="E217" s="91" t="n">
        <v>0</v>
      </c>
      <c r="F217" s="53">
        <f>C217+D217-E217</f>
        <v/>
      </c>
      <c r="G217" s="54">
        <f>F217/1000</f>
        <v/>
      </c>
      <c r="H217" s="55">
        <f>IF(F217&lt;200,"⚠️ BAIXO",IF(F217&lt;500,"📦 OK","✅ CHEIO"))</f>
        <v/>
      </c>
    </row>
    <row r="218" ht="18" customHeight="1" s="109">
      <c r="A218" s="19" t="inlineStr">
        <is>
          <t>Elegoo | PLA Matte | Roxo Lavanda</t>
        </is>
      </c>
      <c r="B218" s="46" t="inlineStr">
        <is>
          <t>PLA Matte</t>
        </is>
      </c>
      <c r="C218" s="91" t="n">
        <v>0</v>
      </c>
      <c r="D218" s="91" t="n">
        <v>0</v>
      </c>
      <c r="E218" s="91" t="n">
        <v>0</v>
      </c>
      <c r="F218" s="53">
        <f>C218+D218-E218</f>
        <v/>
      </c>
      <c r="G218" s="54">
        <f>F218/1000</f>
        <v/>
      </c>
      <c r="H218" s="55">
        <f>IF(F218&lt;200,"⚠️ BAIXO",IF(F218&lt;500,"📦 OK","✅ CHEIO"))</f>
        <v/>
      </c>
    </row>
    <row r="219" ht="18" customHeight="1" s="109">
      <c r="A219" s="15" t="inlineStr">
        <is>
          <t>Elegoo | PLA Matte | Rosa Sakura</t>
        </is>
      </c>
      <c r="B219" s="33" t="inlineStr">
        <is>
          <t>PLA Matte</t>
        </is>
      </c>
      <c r="C219" s="91" t="n">
        <v>0</v>
      </c>
      <c r="D219" s="91" t="n">
        <v>0</v>
      </c>
      <c r="E219" s="91" t="n">
        <v>0</v>
      </c>
      <c r="F219" s="53">
        <f>C219+D219-E219</f>
        <v/>
      </c>
      <c r="G219" s="54">
        <f>F219/1000</f>
        <v/>
      </c>
      <c r="H219" s="55">
        <f>IF(F219&lt;200,"⚠️ BAIXO",IF(F219&lt;500,"📦 OK","✅ CHEIO"))</f>
        <v/>
      </c>
    </row>
    <row r="220" ht="18" customHeight="1" s="109">
      <c r="A220" s="19" t="inlineStr">
        <is>
          <t>Elegoo | PLA Matte | Azul Gelo</t>
        </is>
      </c>
      <c r="B220" s="46" t="inlineStr">
        <is>
          <t>PLA Matte</t>
        </is>
      </c>
      <c r="C220" s="91" t="n">
        <v>0</v>
      </c>
      <c r="D220" s="91" t="n">
        <v>0</v>
      </c>
      <c r="E220" s="91" t="n">
        <v>0</v>
      </c>
      <c r="F220" s="53">
        <f>C220+D220-E220</f>
        <v/>
      </c>
      <c r="G220" s="54">
        <f>F220/1000</f>
        <v/>
      </c>
      <c r="H220" s="55">
        <f>IF(F220&lt;200,"⚠️ BAIXO",IF(F220&lt;500,"📦 OK","✅ CHEIO"))</f>
        <v/>
      </c>
    </row>
    <row r="221" ht="18" customHeight="1" s="109">
      <c r="A221" s="15" t="inlineStr">
        <is>
          <t>Elegoo | PLA Matte | Bege</t>
        </is>
      </c>
      <c r="B221" s="33" t="inlineStr">
        <is>
          <t>PLA Matte</t>
        </is>
      </c>
      <c r="C221" s="91" t="n">
        <v>0</v>
      </c>
      <c r="D221" s="91" t="n">
        <v>0</v>
      </c>
      <c r="E221" s="91" t="n">
        <v>0</v>
      </c>
      <c r="F221" s="53">
        <f>C221+D221-E221</f>
        <v/>
      </c>
      <c r="G221" s="54">
        <f>F221/1000</f>
        <v/>
      </c>
      <c r="H221" s="55">
        <f>IF(F221&lt;200,"⚠️ BAIXO",IF(F221&lt;500,"📦 OK","✅ CHEIO"))</f>
        <v/>
      </c>
    </row>
    <row r="222" ht="18" customHeight="1" s="109">
      <c r="A222" s="19" t="inlineStr">
        <is>
          <t>Elegoo | PLA Matte | Verde Menta</t>
        </is>
      </c>
      <c r="B222" s="46" t="inlineStr">
        <is>
          <t>PLA Matte</t>
        </is>
      </c>
      <c r="C222" s="91" t="n">
        <v>0</v>
      </c>
      <c r="D222" s="91" t="n">
        <v>0</v>
      </c>
      <c r="E222" s="91" t="n">
        <v>0</v>
      </c>
      <c r="F222" s="53">
        <f>C222+D222-E222</f>
        <v/>
      </c>
      <c r="G222" s="54">
        <f>F222/1000</f>
        <v/>
      </c>
      <c r="H222" s="55">
        <f>IF(F222&lt;200,"⚠️ BAIXO",IF(F222&lt;500,"📦 OK","✅ CHEIO"))</f>
        <v/>
      </c>
    </row>
    <row r="223" ht="18" customHeight="1" s="109">
      <c r="A223" s="15" t="inlineStr">
        <is>
          <t>Elegoo | PLA Matte | Marrom Terra</t>
        </is>
      </c>
      <c r="B223" s="33" t="inlineStr">
        <is>
          <t>PLA Matte</t>
        </is>
      </c>
      <c r="C223" s="91" t="n">
        <v>0</v>
      </c>
      <c r="D223" s="91" t="n">
        <v>0</v>
      </c>
      <c r="E223" s="91" t="n">
        <v>0</v>
      </c>
      <c r="F223" s="53">
        <f>C223+D223-E223</f>
        <v/>
      </c>
      <c r="G223" s="54">
        <f>F223/1000</f>
        <v/>
      </c>
      <c r="H223" s="55">
        <f>IF(F223&lt;200,"⚠️ BAIXO",IF(F223&lt;500,"📦 OK","✅ CHEIO"))</f>
        <v/>
      </c>
    </row>
    <row r="224" ht="18" customHeight="1" s="109">
      <c r="A224" s="19" t="inlineStr">
        <is>
          <t>Elegoo | PLA Matte | Laranja</t>
        </is>
      </c>
      <c r="B224" s="46" t="inlineStr">
        <is>
          <t>PLA Matte</t>
        </is>
      </c>
      <c r="C224" s="91" t="n">
        <v>0</v>
      </c>
      <c r="D224" s="91" t="n">
        <v>0</v>
      </c>
      <c r="E224" s="91" t="n">
        <v>0</v>
      </c>
      <c r="F224" s="53">
        <f>C224+D224-E224</f>
        <v/>
      </c>
      <c r="G224" s="54">
        <f>F224/1000</f>
        <v/>
      </c>
      <c r="H224" s="55">
        <f>IF(F224&lt;200,"⚠️ BAIXO",IF(F224&lt;500,"📦 OK","✅ CHEIO"))</f>
        <v/>
      </c>
    </row>
    <row r="225" ht="18" customHeight="1" s="109">
      <c r="A225" s="15" t="inlineStr">
        <is>
          <t>Elegoo | PLA Metallic | Dourado Metálico</t>
        </is>
      </c>
      <c r="B225" s="33" t="inlineStr">
        <is>
          <t>PLA Metallic</t>
        </is>
      </c>
      <c r="C225" s="91" t="n">
        <v>0</v>
      </c>
      <c r="D225" s="91" t="n">
        <v>0</v>
      </c>
      <c r="E225" s="91" t="n">
        <v>0</v>
      </c>
      <c r="F225" s="53">
        <f>C225+D225-E225</f>
        <v/>
      </c>
      <c r="G225" s="54">
        <f>F225/1000</f>
        <v/>
      </c>
      <c r="H225" s="55">
        <f>IF(F225&lt;200,"⚠️ BAIXO",IF(F225&lt;500,"📦 OK","✅ CHEIO"))</f>
        <v/>
      </c>
    </row>
    <row r="226" ht="18" customHeight="1" s="109">
      <c r="A226" s="19" t="inlineStr">
        <is>
          <t>Elegoo | PLA Metallic | Bronze Metálico</t>
        </is>
      </c>
      <c r="B226" s="46" t="inlineStr">
        <is>
          <t>PLA Metallic</t>
        </is>
      </c>
      <c r="C226" s="91" t="n">
        <v>0</v>
      </c>
      <c r="D226" s="91" t="n">
        <v>0</v>
      </c>
      <c r="E226" s="91" t="n">
        <v>0</v>
      </c>
      <c r="F226" s="53">
        <f>C226+D226-E226</f>
        <v/>
      </c>
      <c r="G226" s="54">
        <f>F226/1000</f>
        <v/>
      </c>
      <c r="H226" s="55">
        <f>IF(F226&lt;200,"⚠️ BAIXO",IF(F226&lt;500,"📦 OK","✅ CHEIO"))</f>
        <v/>
      </c>
    </row>
    <row r="227" ht="18" customHeight="1" s="109">
      <c r="A227" s="15" t="inlineStr">
        <is>
          <t>Elegoo | PLA Metallic | Azul Metálico</t>
        </is>
      </c>
      <c r="B227" s="33" t="inlineStr">
        <is>
          <t>PLA Metallic</t>
        </is>
      </c>
      <c r="C227" s="91" t="n">
        <v>0</v>
      </c>
      <c r="D227" s="91" t="n">
        <v>0</v>
      </c>
      <c r="E227" s="91" t="n">
        <v>0</v>
      </c>
      <c r="F227" s="53">
        <f>C227+D227-E227</f>
        <v/>
      </c>
      <c r="G227" s="54">
        <f>F227/1000</f>
        <v/>
      </c>
      <c r="H227" s="55">
        <f>IF(F227&lt;200,"⚠️ BAIXO",IF(F227&lt;500,"📦 OK","✅ CHEIO"))</f>
        <v/>
      </c>
    </row>
    <row r="228" ht="18" customHeight="1" s="109">
      <c r="A228" s="19" t="inlineStr">
        <is>
          <t>Elegoo | PLA Metallic | Verde Metálico</t>
        </is>
      </c>
      <c r="B228" s="46" t="inlineStr">
        <is>
          <t>PLA Metallic</t>
        </is>
      </c>
      <c r="C228" s="91" t="n">
        <v>0</v>
      </c>
      <c r="D228" s="91" t="n">
        <v>0</v>
      </c>
      <c r="E228" s="91" t="n">
        <v>0</v>
      </c>
      <c r="F228" s="53">
        <f>C228+D228-E228</f>
        <v/>
      </c>
      <c r="G228" s="54">
        <f>F228/1000</f>
        <v/>
      </c>
      <c r="H228" s="55">
        <f>IF(F228&lt;200,"⚠️ BAIXO",IF(F228&lt;500,"📦 OK","✅ CHEIO"))</f>
        <v/>
      </c>
    </row>
    <row r="229" ht="18" customHeight="1" s="109">
      <c r="A229" s="15" t="inlineStr">
        <is>
          <t>Elegoo | PLA Marble | Mármore</t>
        </is>
      </c>
      <c r="B229" s="33" t="inlineStr">
        <is>
          <t>PLA Marble</t>
        </is>
      </c>
      <c r="C229" s="91" t="n">
        <v>0</v>
      </c>
      <c r="D229" s="91" t="n">
        <v>0</v>
      </c>
      <c r="E229" s="91" t="n">
        <v>0</v>
      </c>
      <c r="F229" s="53">
        <f>C229+D229-E229</f>
        <v/>
      </c>
      <c r="G229" s="54">
        <f>F229/1000</f>
        <v/>
      </c>
      <c r="H229" s="55">
        <f>IF(F229&lt;200,"⚠️ BAIXO",IF(F229&lt;500,"📦 OK","✅ CHEIO"))</f>
        <v/>
      </c>
    </row>
    <row r="230" ht="18" customHeight="1" s="109">
      <c r="A230" s="19" t="inlineStr">
        <is>
          <t>Elegoo | PLA Marble | Mármore Vermelho Tijolo</t>
        </is>
      </c>
      <c r="B230" s="46" t="inlineStr">
        <is>
          <t>PLA Marble</t>
        </is>
      </c>
      <c r="C230" s="91" t="n">
        <v>0</v>
      </c>
      <c r="D230" s="91" t="n">
        <v>0</v>
      </c>
      <c r="E230" s="91" t="n">
        <v>0</v>
      </c>
      <c r="F230" s="53">
        <f>C230+D230-E230</f>
        <v/>
      </c>
      <c r="G230" s="54">
        <f>F230/1000</f>
        <v/>
      </c>
      <c r="H230" s="55">
        <f>IF(F230&lt;200,"⚠️ BAIXO",IF(F230&lt;500,"📦 OK","✅ CHEIO"))</f>
        <v/>
      </c>
    </row>
    <row r="231" ht="18" customHeight="1" s="109">
      <c r="A231" s="15" t="inlineStr">
        <is>
          <t>Elegoo | PLA Marble | Mármore Cinza Cimento</t>
        </is>
      </c>
      <c r="B231" s="33" t="inlineStr">
        <is>
          <t>PLA Marble</t>
        </is>
      </c>
      <c r="C231" s="91" t="n">
        <v>0</v>
      </c>
      <c r="D231" s="91" t="n">
        <v>0</v>
      </c>
      <c r="E231" s="91" t="n">
        <v>0</v>
      </c>
      <c r="F231" s="53">
        <f>C231+D231-E231</f>
        <v/>
      </c>
      <c r="G231" s="54">
        <f>F231/1000</f>
        <v/>
      </c>
      <c r="H231" s="55">
        <f>IF(F231&lt;200,"⚠️ BAIXO",IF(F231&lt;500,"📦 OK","✅ CHEIO"))</f>
        <v/>
      </c>
    </row>
    <row r="232" ht="18" customHeight="1" s="109">
      <c r="A232" s="19" t="inlineStr">
        <is>
          <t>Elegoo | PLA Galaxy | Roxo Galáxia</t>
        </is>
      </c>
      <c r="B232" s="46" t="inlineStr">
        <is>
          <t>PLA Galaxy</t>
        </is>
      </c>
      <c r="C232" s="91" t="n">
        <v>0</v>
      </c>
      <c r="D232" s="91" t="n">
        <v>0</v>
      </c>
      <c r="E232" s="91" t="n">
        <v>0</v>
      </c>
      <c r="F232" s="53">
        <f>C232+D232-E232</f>
        <v/>
      </c>
      <c r="G232" s="54">
        <f>F232/1000</f>
        <v/>
      </c>
      <c r="H232" s="55">
        <f>IF(F232&lt;200,"⚠️ BAIXO",IF(F232&lt;500,"📦 OK","✅ CHEIO"))</f>
        <v/>
      </c>
    </row>
    <row r="233" ht="18" customHeight="1" s="109">
      <c r="A233" s="15" t="inlineStr">
        <is>
          <t>Elegoo | PLA Galaxy | Preto Galáxia</t>
        </is>
      </c>
      <c r="B233" s="33" t="inlineStr">
        <is>
          <t>PLA Galaxy</t>
        </is>
      </c>
      <c r="C233" s="91" t="n">
        <v>0</v>
      </c>
      <c r="D233" s="91" t="n">
        <v>0</v>
      </c>
      <c r="E233" s="91" t="n">
        <v>0</v>
      </c>
      <c r="F233" s="53">
        <f>C233+D233-E233</f>
        <v/>
      </c>
      <c r="G233" s="54">
        <f>F233/1000</f>
        <v/>
      </c>
      <c r="H233" s="55">
        <f>IF(F233&lt;200,"⚠️ BAIXO",IF(F233&lt;500,"📦 OK","✅ CHEIO"))</f>
        <v/>
      </c>
    </row>
    <row r="234" ht="18" customHeight="1" s="109">
      <c r="A234" s="19" t="inlineStr">
        <is>
          <t>Elegoo | PLA Galaxy | Azul Pavão Galáxia</t>
        </is>
      </c>
      <c r="B234" s="46" t="inlineStr">
        <is>
          <t>PLA Galaxy</t>
        </is>
      </c>
      <c r="C234" s="91" t="n">
        <v>0</v>
      </c>
      <c r="D234" s="91" t="n">
        <v>0</v>
      </c>
      <c r="E234" s="91" t="n">
        <v>0</v>
      </c>
      <c r="F234" s="53">
        <f>C234+D234-E234</f>
        <v/>
      </c>
      <c r="G234" s="54">
        <f>F234/1000</f>
        <v/>
      </c>
      <c r="H234" s="55">
        <f>IF(F234&lt;200,"⚠️ BAIXO",IF(F234&lt;500,"📦 OK","✅ CHEIO"))</f>
        <v/>
      </c>
    </row>
    <row r="235" ht="18" customHeight="1" s="109">
      <c r="A235" s="15" t="inlineStr">
        <is>
          <t>Elegoo | PLA-CF | Preto</t>
        </is>
      </c>
      <c r="B235" s="33" t="inlineStr">
        <is>
          <t>PLA-CF</t>
        </is>
      </c>
      <c r="C235" s="91" t="n">
        <v>0</v>
      </c>
      <c r="D235" s="91" t="n">
        <v>0</v>
      </c>
      <c r="E235" s="91" t="n">
        <v>0</v>
      </c>
      <c r="F235" s="53">
        <f>C235+D235-E235</f>
        <v/>
      </c>
      <c r="G235" s="54">
        <f>F235/1000</f>
        <v/>
      </c>
      <c r="H235" s="55">
        <f>IF(F235&lt;200,"⚠️ BAIXO",IF(F235&lt;500,"📦 OK","✅ CHEIO"))</f>
        <v/>
      </c>
    </row>
    <row r="236" ht="18" customHeight="1" s="109">
      <c r="A236" s="19" t="inlineStr">
        <is>
          <t>Elegoo | PLA-CF | Cinza</t>
        </is>
      </c>
      <c r="B236" s="46" t="inlineStr">
        <is>
          <t>PLA-CF</t>
        </is>
      </c>
      <c r="C236" s="91" t="n">
        <v>0</v>
      </c>
      <c r="D236" s="91" t="n">
        <v>0</v>
      </c>
      <c r="E236" s="91" t="n">
        <v>0</v>
      </c>
      <c r="F236" s="53">
        <f>C236+D236-E236</f>
        <v/>
      </c>
      <c r="G236" s="54">
        <f>F236/1000</f>
        <v/>
      </c>
      <c r="H236" s="55">
        <f>IF(F236&lt;200,"⚠️ BAIXO",IF(F236&lt;500,"📦 OK","✅ CHEIO"))</f>
        <v/>
      </c>
    </row>
    <row r="237" ht="18" customHeight="1" s="109">
      <c r="A237" s="15" t="inlineStr">
        <is>
          <t>Elegoo | PETG | Preto</t>
        </is>
      </c>
      <c r="B237" s="33" t="inlineStr">
        <is>
          <t>PETG</t>
        </is>
      </c>
      <c r="C237" s="91" t="n">
        <v>0</v>
      </c>
      <c r="D237" s="91" t="n">
        <v>0</v>
      </c>
      <c r="E237" s="91" t="n">
        <v>0</v>
      </c>
      <c r="F237" s="53">
        <f>C237+D237-E237</f>
        <v/>
      </c>
      <c r="G237" s="54">
        <f>F237/1000</f>
        <v/>
      </c>
      <c r="H237" s="55">
        <f>IF(F237&lt;200,"⚠️ BAIXO",IF(F237&lt;500,"📦 OK","✅ CHEIO"))</f>
        <v/>
      </c>
    </row>
    <row r="238" ht="18" customHeight="1" s="109">
      <c r="A238" s="19" t="inlineStr">
        <is>
          <t>Elegoo | PETG | Branco</t>
        </is>
      </c>
      <c r="B238" s="46" t="inlineStr">
        <is>
          <t>PETG</t>
        </is>
      </c>
      <c r="C238" s="91" t="n">
        <v>0</v>
      </c>
      <c r="D238" s="91" t="n">
        <v>0</v>
      </c>
      <c r="E238" s="91" t="n">
        <v>0</v>
      </c>
      <c r="F238" s="53">
        <f>C238+D238-E238</f>
        <v/>
      </c>
      <c r="G238" s="54">
        <f>F238/1000</f>
        <v/>
      </c>
      <c r="H238" s="55">
        <f>IF(F238&lt;200,"⚠️ BAIXO",IF(F238&lt;500,"📦 OK","✅ CHEIO"))</f>
        <v/>
      </c>
    </row>
    <row r="239" ht="18" customHeight="1" s="109">
      <c r="A239" s="15" t="inlineStr">
        <is>
          <t>Elegoo | PETG | Transparente</t>
        </is>
      </c>
      <c r="B239" s="33" t="inlineStr">
        <is>
          <t>PETG</t>
        </is>
      </c>
      <c r="C239" s="91" t="n">
        <v>0</v>
      </c>
      <c r="D239" s="91" t="n">
        <v>0</v>
      </c>
      <c r="E239" s="91" t="n">
        <v>0</v>
      </c>
      <c r="F239" s="53">
        <f>C239+D239-E239</f>
        <v/>
      </c>
      <c r="G239" s="54">
        <f>F239/1000</f>
        <v/>
      </c>
      <c r="H239" s="55">
        <f>IF(F239&lt;200,"⚠️ BAIXO",IF(F239&lt;500,"📦 OK","✅ CHEIO"))</f>
        <v/>
      </c>
    </row>
    <row r="240" ht="18" customHeight="1" s="109">
      <c r="A240" s="19" t="inlineStr">
        <is>
          <t>Elegoo | PETG | Cinza</t>
        </is>
      </c>
      <c r="B240" s="46" t="inlineStr">
        <is>
          <t>PETG</t>
        </is>
      </c>
      <c r="C240" s="91" t="n">
        <v>0</v>
      </c>
      <c r="D240" s="91" t="n">
        <v>0</v>
      </c>
      <c r="E240" s="91" t="n">
        <v>0</v>
      </c>
      <c r="F240" s="53">
        <f>C240+D240-E240</f>
        <v/>
      </c>
      <c r="G240" s="54">
        <f>F240/1000</f>
        <v/>
      </c>
      <c r="H240" s="55">
        <f>IF(F240&lt;200,"⚠️ BAIXO",IF(F240&lt;500,"📦 OK","✅ CHEIO"))</f>
        <v/>
      </c>
    </row>
    <row r="241" ht="18" customHeight="1" s="109">
      <c r="A241" s="15" t="inlineStr">
        <is>
          <t>Elegoo | PETG | Azul</t>
        </is>
      </c>
      <c r="B241" s="33" t="inlineStr">
        <is>
          <t>PETG</t>
        </is>
      </c>
      <c r="C241" s="91" t="n">
        <v>0</v>
      </c>
      <c r="D241" s="91" t="n">
        <v>0</v>
      </c>
      <c r="E241" s="91" t="n">
        <v>0</v>
      </c>
      <c r="F241" s="53">
        <f>C241+D241-E241</f>
        <v/>
      </c>
      <c r="G241" s="54">
        <f>F241/1000</f>
        <v/>
      </c>
      <c r="H241" s="55">
        <f>IF(F241&lt;200,"⚠️ BAIXO",IF(F241&lt;500,"📦 OK","✅ CHEIO"))</f>
        <v/>
      </c>
    </row>
    <row r="242" ht="18" customHeight="1" s="109">
      <c r="A242" s="19" t="inlineStr">
        <is>
          <t>Elegoo | PETG | Vermelho</t>
        </is>
      </c>
      <c r="B242" s="46" t="inlineStr">
        <is>
          <t>PETG</t>
        </is>
      </c>
      <c r="C242" s="91" t="n">
        <v>0</v>
      </c>
      <c r="D242" s="91" t="n">
        <v>0</v>
      </c>
      <c r="E242" s="91" t="n">
        <v>0</v>
      </c>
      <c r="F242" s="53">
        <f>C242+D242-E242</f>
        <v/>
      </c>
      <c r="G242" s="54">
        <f>F242/1000</f>
        <v/>
      </c>
      <c r="H242" s="55">
        <f>IF(F242&lt;200,"⚠️ BAIXO",IF(F242&lt;500,"📦 OK","✅ CHEIO"))</f>
        <v/>
      </c>
    </row>
    <row r="243" ht="18" customHeight="1" s="109">
      <c r="A243" s="15" t="inlineStr">
        <is>
          <t>Elegoo | PETG | Verde</t>
        </is>
      </c>
      <c r="B243" s="33" t="inlineStr">
        <is>
          <t>PETG</t>
        </is>
      </c>
      <c r="C243" s="91" t="n">
        <v>0</v>
      </c>
      <c r="D243" s="91" t="n">
        <v>0</v>
      </c>
      <c r="E243" s="91" t="n">
        <v>0</v>
      </c>
      <c r="F243" s="53">
        <f>C243+D243-E243</f>
        <v/>
      </c>
      <c r="G243" s="54">
        <f>F243/1000</f>
        <v/>
      </c>
      <c r="H243" s="55">
        <f>IF(F243&lt;200,"⚠️ BAIXO",IF(F243&lt;500,"📦 OK","✅ CHEIO"))</f>
        <v/>
      </c>
    </row>
    <row r="244" ht="18" customHeight="1" s="109">
      <c r="A244" s="19" t="inlineStr">
        <is>
          <t>Elegoo | PETG | Amarelo</t>
        </is>
      </c>
      <c r="B244" s="46" t="inlineStr">
        <is>
          <t>PETG</t>
        </is>
      </c>
      <c r="C244" s="91" t="n">
        <v>0</v>
      </c>
      <c r="D244" s="91" t="n">
        <v>0</v>
      </c>
      <c r="E244" s="91" t="n">
        <v>0</v>
      </c>
      <c r="F244" s="53">
        <f>C244+D244-E244</f>
        <v/>
      </c>
      <c r="G244" s="54">
        <f>F244/1000</f>
        <v/>
      </c>
      <c r="H244" s="55">
        <f>IF(F244&lt;200,"⚠️ BAIXO",IF(F244&lt;500,"📦 OK","✅ CHEIO"))</f>
        <v/>
      </c>
    </row>
    <row r="245" ht="18" customHeight="1" s="109">
      <c r="A245" s="15" t="inlineStr">
        <is>
          <t>Elegoo | PETG PRO | Preto</t>
        </is>
      </c>
      <c r="B245" s="33" t="inlineStr">
        <is>
          <t>PETG PRO</t>
        </is>
      </c>
      <c r="C245" s="91" t="n">
        <v>0</v>
      </c>
      <c r="D245" s="91" t="n">
        <v>0</v>
      </c>
      <c r="E245" s="91" t="n">
        <v>0</v>
      </c>
      <c r="F245" s="53">
        <f>C245+D245-E245</f>
        <v/>
      </c>
      <c r="G245" s="54">
        <f>F245/1000</f>
        <v/>
      </c>
      <c r="H245" s="55">
        <f>IF(F245&lt;200,"⚠️ BAIXO",IF(F245&lt;500,"📦 OK","✅ CHEIO"))</f>
        <v/>
      </c>
    </row>
    <row r="246" ht="18" customHeight="1" s="109">
      <c r="A246" s="19" t="inlineStr">
        <is>
          <t>Elegoo | PETG PRO | Branco</t>
        </is>
      </c>
      <c r="B246" s="46" t="inlineStr">
        <is>
          <t>PETG PRO</t>
        </is>
      </c>
      <c r="C246" s="91" t="n">
        <v>0</v>
      </c>
      <c r="D246" s="91" t="n">
        <v>0</v>
      </c>
      <c r="E246" s="91" t="n">
        <v>0</v>
      </c>
      <c r="F246" s="53">
        <f>C246+D246-E246</f>
        <v/>
      </c>
      <c r="G246" s="54">
        <f>F246/1000</f>
        <v/>
      </c>
      <c r="H246" s="55">
        <f>IF(F246&lt;200,"⚠️ BAIXO",IF(F246&lt;500,"📦 OK","✅ CHEIO"))</f>
        <v/>
      </c>
    </row>
    <row r="247" ht="18" customHeight="1" s="109">
      <c r="A247" s="15" t="inlineStr">
        <is>
          <t>Elegoo | PETG PRO | Transparente</t>
        </is>
      </c>
      <c r="B247" s="33" t="inlineStr">
        <is>
          <t>PETG PRO</t>
        </is>
      </c>
      <c r="C247" s="91" t="n">
        <v>0</v>
      </c>
      <c r="D247" s="91" t="n">
        <v>0</v>
      </c>
      <c r="E247" s="91" t="n">
        <v>0</v>
      </c>
      <c r="F247" s="53">
        <f>C247+D247-E247</f>
        <v/>
      </c>
      <c r="G247" s="54">
        <f>F247/1000</f>
        <v/>
      </c>
      <c r="H247" s="55">
        <f>IF(F247&lt;200,"⚠️ BAIXO",IF(F247&lt;500,"📦 OK","✅ CHEIO"))</f>
        <v/>
      </c>
    </row>
    <row r="248" ht="18" customHeight="1" s="109">
      <c r="A248" s="19" t="inlineStr">
        <is>
          <t>Elegoo | PETG PRO | Cinza</t>
        </is>
      </c>
      <c r="B248" s="46" t="inlineStr">
        <is>
          <t>PETG PRO</t>
        </is>
      </c>
      <c r="C248" s="91" t="n">
        <v>0</v>
      </c>
      <c r="D248" s="91" t="n">
        <v>0</v>
      </c>
      <c r="E248" s="91" t="n">
        <v>0</v>
      </c>
      <c r="F248" s="53">
        <f>C248+D248-E248</f>
        <v/>
      </c>
      <c r="G248" s="54">
        <f>F248/1000</f>
        <v/>
      </c>
      <c r="H248" s="55">
        <f>IF(F248&lt;200,"⚠️ BAIXO",IF(F248&lt;500,"📦 OK","✅ CHEIO"))</f>
        <v/>
      </c>
    </row>
    <row r="249" ht="18" customHeight="1" s="109">
      <c r="A249" s="15" t="inlineStr">
        <is>
          <t>Elegoo | Rapid PETG | Preto</t>
        </is>
      </c>
      <c r="B249" s="33" t="inlineStr">
        <is>
          <t>Rapid PETG</t>
        </is>
      </c>
      <c r="C249" s="91" t="n">
        <v>0</v>
      </c>
      <c r="D249" s="91" t="n">
        <v>0</v>
      </c>
      <c r="E249" s="91" t="n">
        <v>0</v>
      </c>
      <c r="F249" s="53">
        <f>C249+D249-E249</f>
        <v/>
      </c>
      <c r="G249" s="54">
        <f>F249/1000</f>
        <v/>
      </c>
      <c r="H249" s="55">
        <f>IF(F249&lt;200,"⚠️ BAIXO",IF(F249&lt;500,"📦 OK","✅ CHEIO"))</f>
        <v/>
      </c>
    </row>
    <row r="250" ht="18" customHeight="1" s="109">
      <c r="A250" s="19" t="inlineStr">
        <is>
          <t>Elegoo | Rapid PETG | Branco</t>
        </is>
      </c>
      <c r="B250" s="46" t="inlineStr">
        <is>
          <t>Rapid PETG</t>
        </is>
      </c>
      <c r="C250" s="91" t="n">
        <v>0</v>
      </c>
      <c r="D250" s="91" t="n">
        <v>0</v>
      </c>
      <c r="E250" s="91" t="n">
        <v>0</v>
      </c>
      <c r="F250" s="53">
        <f>C250+D250-E250</f>
        <v/>
      </c>
      <c r="G250" s="54">
        <f>F250/1000</f>
        <v/>
      </c>
      <c r="H250" s="55">
        <f>IF(F250&lt;200,"⚠️ BAIXO",IF(F250&lt;500,"📦 OK","✅ CHEIO"))</f>
        <v/>
      </c>
    </row>
    <row r="251" ht="18" customHeight="1" s="109">
      <c r="A251" s="15" t="inlineStr">
        <is>
          <t>Elegoo | Rapid PETG | Transparente</t>
        </is>
      </c>
      <c r="B251" s="33" t="inlineStr">
        <is>
          <t>Rapid PETG</t>
        </is>
      </c>
      <c r="C251" s="91" t="n">
        <v>0</v>
      </c>
      <c r="D251" s="91" t="n">
        <v>0</v>
      </c>
      <c r="E251" s="91" t="n">
        <v>0</v>
      </c>
      <c r="F251" s="53">
        <f>C251+D251-E251</f>
        <v/>
      </c>
      <c r="G251" s="54">
        <f>F251/1000</f>
        <v/>
      </c>
      <c r="H251" s="55">
        <f>IF(F251&lt;200,"⚠️ BAIXO",IF(F251&lt;500,"📦 OK","✅ CHEIO"))</f>
        <v/>
      </c>
    </row>
    <row r="252" ht="18" customHeight="1" s="109">
      <c r="A252" s="19" t="inlineStr">
        <is>
          <t>Elegoo | Rapid PETG | Cinza</t>
        </is>
      </c>
      <c r="B252" s="46" t="inlineStr">
        <is>
          <t>Rapid PETG</t>
        </is>
      </c>
      <c r="C252" s="91" t="n">
        <v>0</v>
      </c>
      <c r="D252" s="91" t="n">
        <v>0</v>
      </c>
      <c r="E252" s="91" t="n">
        <v>0</v>
      </c>
      <c r="F252" s="53">
        <f>C252+D252-E252</f>
        <v/>
      </c>
      <c r="G252" s="54">
        <f>F252/1000</f>
        <v/>
      </c>
      <c r="H252" s="55">
        <f>IF(F252&lt;200,"⚠️ BAIXO",IF(F252&lt;500,"📦 OK","✅ CHEIO"))</f>
        <v/>
      </c>
    </row>
    <row r="253" ht="18" customHeight="1" s="109">
      <c r="A253" s="15" t="inlineStr">
        <is>
          <t>Elegoo | Rapid PETG | Azul</t>
        </is>
      </c>
      <c r="B253" s="33" t="inlineStr">
        <is>
          <t>Rapid PETG</t>
        </is>
      </c>
      <c r="C253" s="91" t="n">
        <v>0</v>
      </c>
      <c r="D253" s="91" t="n">
        <v>0</v>
      </c>
      <c r="E253" s="91" t="n">
        <v>0</v>
      </c>
      <c r="F253" s="53">
        <f>C253+D253-E253</f>
        <v/>
      </c>
      <c r="G253" s="54">
        <f>F253/1000</f>
        <v/>
      </c>
      <c r="H253" s="55">
        <f>IF(F253&lt;200,"⚠️ BAIXO",IF(F253&lt;500,"📦 OK","✅ CHEIO"))</f>
        <v/>
      </c>
    </row>
    <row r="254" ht="18" customHeight="1" s="109">
      <c r="A254" s="19" t="inlineStr">
        <is>
          <t>Elegoo | PETG-GF | Preto</t>
        </is>
      </c>
      <c r="B254" s="46" t="inlineStr">
        <is>
          <t>PETG-GF</t>
        </is>
      </c>
      <c r="C254" s="91" t="n">
        <v>0</v>
      </c>
      <c r="D254" s="91" t="n">
        <v>0</v>
      </c>
      <c r="E254" s="91" t="n">
        <v>0</v>
      </c>
      <c r="F254" s="53">
        <f>C254+D254-E254</f>
        <v/>
      </c>
      <c r="G254" s="54">
        <f>F254/1000</f>
        <v/>
      </c>
      <c r="H254" s="55">
        <f>IF(F254&lt;200,"⚠️ BAIXO",IF(F254&lt;500,"📦 OK","✅ CHEIO"))</f>
        <v/>
      </c>
    </row>
    <row r="255" ht="18" customHeight="1" s="109">
      <c r="A255" s="15" t="inlineStr">
        <is>
          <t>Elegoo | PETG-GF | Cinza</t>
        </is>
      </c>
      <c r="B255" s="33" t="inlineStr">
        <is>
          <t>PETG-GF</t>
        </is>
      </c>
      <c r="C255" s="91" t="n">
        <v>0</v>
      </c>
      <c r="D255" s="91" t="n">
        <v>0</v>
      </c>
      <c r="E255" s="91" t="n">
        <v>0</v>
      </c>
      <c r="F255" s="53">
        <f>C255+D255-E255</f>
        <v/>
      </c>
      <c r="G255" s="54">
        <f>F255/1000</f>
        <v/>
      </c>
      <c r="H255" s="55">
        <f>IF(F255&lt;200,"⚠️ BAIXO",IF(F255&lt;500,"📦 OK","✅ CHEIO"))</f>
        <v/>
      </c>
    </row>
    <row r="256" ht="18" customHeight="1" s="109">
      <c r="A256" s="19" t="inlineStr">
        <is>
          <t>Elegoo | PETG-GF | Branco</t>
        </is>
      </c>
      <c r="B256" s="46" t="inlineStr">
        <is>
          <t>PETG-GF</t>
        </is>
      </c>
      <c r="C256" s="91" t="n">
        <v>0</v>
      </c>
      <c r="D256" s="91" t="n">
        <v>0</v>
      </c>
      <c r="E256" s="91" t="n">
        <v>0</v>
      </c>
      <c r="F256" s="53">
        <f>C256+D256-E256</f>
        <v/>
      </c>
      <c r="G256" s="54">
        <f>F256/1000</f>
        <v/>
      </c>
      <c r="H256" s="55">
        <f>IF(F256&lt;200,"⚠️ BAIXO",IF(F256&lt;500,"📦 OK","✅ CHEIO"))</f>
        <v/>
      </c>
    </row>
    <row r="257" ht="18" customHeight="1" s="109">
      <c r="A257" s="15" t="inlineStr">
        <is>
          <t>Elegoo | PETG-CF | Preto</t>
        </is>
      </c>
      <c r="B257" s="33" t="inlineStr">
        <is>
          <t>PETG-CF</t>
        </is>
      </c>
      <c r="C257" s="91" t="n">
        <v>0</v>
      </c>
      <c r="D257" s="91" t="n">
        <v>0</v>
      </c>
      <c r="E257" s="91" t="n">
        <v>0</v>
      </c>
      <c r="F257" s="53">
        <f>C257+D257-E257</f>
        <v/>
      </c>
      <c r="G257" s="54">
        <f>F257/1000</f>
        <v/>
      </c>
      <c r="H257" s="55">
        <f>IF(F257&lt;200,"⚠️ BAIXO",IF(F257&lt;500,"📦 OK","✅ CHEIO"))</f>
        <v/>
      </c>
    </row>
    <row r="258" ht="18" customHeight="1" s="109">
      <c r="A258" s="19" t="inlineStr">
        <is>
          <t>Elegoo | PETG-CF | Cinza</t>
        </is>
      </c>
      <c r="B258" s="46" t="inlineStr">
        <is>
          <t>PETG-CF</t>
        </is>
      </c>
      <c r="C258" s="91" t="n">
        <v>0</v>
      </c>
      <c r="D258" s="91" t="n">
        <v>0</v>
      </c>
      <c r="E258" s="91" t="n">
        <v>0</v>
      </c>
      <c r="F258" s="53">
        <f>C258+D258-E258</f>
        <v/>
      </c>
      <c r="G258" s="54">
        <f>F258/1000</f>
        <v/>
      </c>
      <c r="H258" s="55">
        <f>IF(F258&lt;200,"⚠️ BAIXO",IF(F258&lt;500,"📦 OK","✅ CHEIO"))</f>
        <v/>
      </c>
    </row>
    <row r="259" ht="18" customHeight="1" s="109">
      <c r="A259" s="15" t="inlineStr">
        <is>
          <t>Elegoo | PETG-CF | Verde</t>
        </is>
      </c>
      <c r="B259" s="33" t="inlineStr">
        <is>
          <t>PETG-CF</t>
        </is>
      </c>
      <c r="C259" s="91" t="n">
        <v>0</v>
      </c>
      <c r="D259" s="91" t="n">
        <v>0</v>
      </c>
      <c r="E259" s="91" t="n">
        <v>0</v>
      </c>
      <c r="F259" s="53">
        <f>C259+D259-E259</f>
        <v/>
      </c>
      <c r="G259" s="54">
        <f>F259/1000</f>
        <v/>
      </c>
      <c r="H259" s="55">
        <f>IF(F259&lt;200,"⚠️ BAIXO",IF(F259&lt;500,"📦 OK","✅ CHEIO"))</f>
        <v/>
      </c>
    </row>
    <row r="260" ht="18" customHeight="1" s="109">
      <c r="A260" s="19" t="inlineStr">
        <is>
          <t>Elegoo | PETG-CF | Vermelho</t>
        </is>
      </c>
      <c r="B260" s="46" t="inlineStr">
        <is>
          <t>PETG-CF</t>
        </is>
      </c>
      <c r="C260" s="91" t="n">
        <v>0</v>
      </c>
      <c r="D260" s="91" t="n">
        <v>0</v>
      </c>
      <c r="E260" s="91" t="n">
        <v>0</v>
      </c>
      <c r="F260" s="53">
        <f>C260+D260-E260</f>
        <v/>
      </c>
      <c r="G260" s="54">
        <f>F260/1000</f>
        <v/>
      </c>
      <c r="H260" s="55">
        <f>IF(F260&lt;200,"⚠️ BAIXO",IF(F260&lt;500,"📦 OK","✅ CHEIO"))</f>
        <v/>
      </c>
    </row>
    <row r="261" ht="18" customHeight="1" s="109">
      <c r="A261" s="15" t="inlineStr">
        <is>
          <t>Elegoo | PETG-CF | Roxo</t>
        </is>
      </c>
      <c r="B261" s="33" t="inlineStr">
        <is>
          <t>PETG-CF</t>
        </is>
      </c>
      <c r="C261" s="91" t="n">
        <v>0</v>
      </c>
      <c r="D261" s="91" t="n">
        <v>0</v>
      </c>
      <c r="E261" s="91" t="n">
        <v>0</v>
      </c>
      <c r="F261" s="53">
        <f>C261+D261-E261</f>
        <v/>
      </c>
      <c r="G261" s="54">
        <f>F261/1000</f>
        <v/>
      </c>
      <c r="H261" s="55">
        <f>IF(F261&lt;200,"⚠️ BAIXO",IF(F261&lt;500,"📦 OK","✅ CHEIO"))</f>
        <v/>
      </c>
    </row>
    <row r="262" ht="18" customHeight="1" s="109">
      <c r="A262" s="19" t="inlineStr">
        <is>
          <t>Elegoo | PETG-CF | Azul</t>
        </is>
      </c>
      <c r="B262" s="46" t="inlineStr">
        <is>
          <t>PETG-CF</t>
        </is>
      </c>
      <c r="C262" s="91" t="n">
        <v>0</v>
      </c>
      <c r="D262" s="91" t="n">
        <v>0</v>
      </c>
      <c r="E262" s="91" t="n">
        <v>0</v>
      </c>
      <c r="F262" s="53">
        <f>C262+D262-E262</f>
        <v/>
      </c>
      <c r="G262" s="54">
        <f>F262/1000</f>
        <v/>
      </c>
      <c r="H262" s="55">
        <f>IF(F262&lt;200,"⚠️ BAIXO",IF(F262&lt;500,"📦 OK","✅ CHEIO"))</f>
        <v/>
      </c>
    </row>
    <row r="263" ht="18" customHeight="1" s="109">
      <c r="A263" s="15" t="inlineStr">
        <is>
          <t>Elegoo | ASA | Preto</t>
        </is>
      </c>
      <c r="B263" s="33" t="inlineStr">
        <is>
          <t>ASA</t>
        </is>
      </c>
      <c r="C263" s="91" t="n">
        <v>0</v>
      </c>
      <c r="D263" s="91" t="n">
        <v>0</v>
      </c>
      <c r="E263" s="91" t="n">
        <v>0</v>
      </c>
      <c r="F263" s="53">
        <f>C263+D263-E263</f>
        <v/>
      </c>
      <c r="G263" s="54">
        <f>F263/1000</f>
        <v/>
      </c>
      <c r="H263" s="55">
        <f>IF(F263&lt;200,"⚠️ BAIXO",IF(F263&lt;500,"📦 OK","✅ CHEIO"))</f>
        <v/>
      </c>
    </row>
    <row r="264" ht="18" customHeight="1" s="109">
      <c r="A264" s="19" t="inlineStr">
        <is>
          <t>Elegoo | ASA | Branco</t>
        </is>
      </c>
      <c r="B264" s="46" t="inlineStr">
        <is>
          <t>ASA</t>
        </is>
      </c>
      <c r="C264" s="91" t="n">
        <v>0</v>
      </c>
      <c r="D264" s="91" t="n">
        <v>0</v>
      </c>
      <c r="E264" s="91" t="n">
        <v>0</v>
      </c>
      <c r="F264" s="53">
        <f>C264+D264-E264</f>
        <v/>
      </c>
      <c r="G264" s="54">
        <f>F264/1000</f>
        <v/>
      </c>
      <c r="H264" s="55">
        <f>IF(F264&lt;200,"⚠️ BAIXO",IF(F264&lt;500,"📦 OK","✅ CHEIO"))</f>
        <v/>
      </c>
    </row>
    <row r="265" ht="18" customHeight="1" s="109">
      <c r="A265" s="15" t="inlineStr">
        <is>
          <t>Elegoo | ASA | Cinza</t>
        </is>
      </c>
      <c r="B265" s="33" t="inlineStr">
        <is>
          <t>ASA</t>
        </is>
      </c>
      <c r="C265" s="91" t="n">
        <v>0</v>
      </c>
      <c r="D265" s="91" t="n">
        <v>0</v>
      </c>
      <c r="E265" s="91" t="n">
        <v>0</v>
      </c>
      <c r="F265" s="53">
        <f>C265+D265-E265</f>
        <v/>
      </c>
      <c r="G265" s="54">
        <f>F265/1000</f>
        <v/>
      </c>
      <c r="H265" s="55">
        <f>IF(F265&lt;200,"⚠️ BAIXO",IF(F265&lt;500,"📦 OK","✅ CHEIO"))</f>
        <v/>
      </c>
    </row>
    <row r="266" ht="18" customHeight="1" s="109">
      <c r="A266" s="19" t="inlineStr">
        <is>
          <t>Elegoo | ASA | Vermelho</t>
        </is>
      </c>
      <c r="B266" s="46" t="inlineStr">
        <is>
          <t>ASA</t>
        </is>
      </c>
      <c r="C266" s="91" t="n">
        <v>0</v>
      </c>
      <c r="D266" s="91" t="n">
        <v>0</v>
      </c>
      <c r="E266" s="91" t="n">
        <v>0</v>
      </c>
      <c r="F266" s="53">
        <f>C266+D266-E266</f>
        <v/>
      </c>
      <c r="G266" s="54">
        <f>F266/1000</f>
        <v/>
      </c>
      <c r="H266" s="55">
        <f>IF(F266&lt;200,"⚠️ BAIXO",IF(F266&lt;500,"📦 OK","✅ CHEIO"))</f>
        <v/>
      </c>
    </row>
    <row r="267" ht="18" customHeight="1" s="109">
      <c r="A267" s="15" t="inlineStr">
        <is>
          <t>Elegoo | ASA | Azul</t>
        </is>
      </c>
      <c r="B267" s="33" t="inlineStr">
        <is>
          <t>ASA</t>
        </is>
      </c>
      <c r="C267" s="91" t="n">
        <v>0</v>
      </c>
      <c r="D267" s="91" t="n">
        <v>0</v>
      </c>
      <c r="E267" s="91" t="n">
        <v>0</v>
      </c>
      <c r="F267" s="53">
        <f>C267+D267-E267</f>
        <v/>
      </c>
      <c r="G267" s="54">
        <f>F267/1000</f>
        <v/>
      </c>
      <c r="H267" s="55">
        <f>IF(F267&lt;200,"⚠️ BAIXO",IF(F267&lt;500,"📦 OK","✅ CHEIO"))</f>
        <v/>
      </c>
    </row>
    <row r="268" ht="18" customHeight="1" s="109">
      <c r="A268" s="19" t="inlineStr">
        <is>
          <t>Elegoo | ABS | Preto</t>
        </is>
      </c>
      <c r="B268" s="46" t="inlineStr">
        <is>
          <t>ABS</t>
        </is>
      </c>
      <c r="C268" s="91" t="n">
        <v>0</v>
      </c>
      <c r="D268" s="91" t="n">
        <v>0</v>
      </c>
      <c r="E268" s="91" t="n">
        <v>0</v>
      </c>
      <c r="F268" s="53">
        <f>C268+D268-E268</f>
        <v/>
      </c>
      <c r="G268" s="54">
        <f>F268/1000</f>
        <v/>
      </c>
      <c r="H268" s="55">
        <f>IF(F268&lt;200,"⚠️ BAIXO",IF(F268&lt;500,"📦 OK","✅ CHEIO"))</f>
        <v/>
      </c>
    </row>
    <row r="269" ht="18" customHeight="1" s="109">
      <c r="A269" s="15" t="inlineStr">
        <is>
          <t>Elegoo | ABS | Branco</t>
        </is>
      </c>
      <c r="B269" s="33" t="inlineStr">
        <is>
          <t>ABS</t>
        </is>
      </c>
      <c r="C269" s="91" t="n">
        <v>0</v>
      </c>
      <c r="D269" s="91" t="n">
        <v>0</v>
      </c>
      <c r="E269" s="91" t="n">
        <v>0</v>
      </c>
      <c r="F269" s="53">
        <f>C269+D269-E269</f>
        <v/>
      </c>
      <c r="G269" s="54">
        <f>F269/1000</f>
        <v/>
      </c>
      <c r="H269" s="55">
        <f>IF(F269&lt;200,"⚠️ BAIXO",IF(F269&lt;500,"📦 OK","✅ CHEIO"))</f>
        <v/>
      </c>
    </row>
    <row r="270" ht="18" customHeight="1" s="109">
      <c r="A270" s="19" t="inlineStr">
        <is>
          <t>Elegoo | ABS | Cinza</t>
        </is>
      </c>
      <c r="B270" s="46" t="inlineStr">
        <is>
          <t>ABS</t>
        </is>
      </c>
      <c r="C270" s="91" t="n">
        <v>0</v>
      </c>
      <c r="D270" s="91" t="n">
        <v>0</v>
      </c>
      <c r="E270" s="91" t="n">
        <v>0</v>
      </c>
      <c r="F270" s="53">
        <f>C270+D270-E270</f>
        <v/>
      </c>
      <c r="G270" s="54">
        <f>F270/1000</f>
        <v/>
      </c>
      <c r="H270" s="55">
        <f>IF(F270&lt;200,"⚠️ BAIXO",IF(F270&lt;500,"📦 OK","✅ CHEIO"))</f>
        <v/>
      </c>
    </row>
    <row r="271" ht="18" customHeight="1" s="109">
      <c r="A271" s="15" t="inlineStr">
        <is>
          <t>Elegoo | ABS | Vermelho</t>
        </is>
      </c>
      <c r="B271" s="33" t="inlineStr">
        <is>
          <t>ABS</t>
        </is>
      </c>
      <c r="C271" s="91" t="n">
        <v>0</v>
      </c>
      <c r="D271" s="91" t="n">
        <v>0</v>
      </c>
      <c r="E271" s="91" t="n">
        <v>0</v>
      </c>
      <c r="F271" s="53">
        <f>C271+D271-E271</f>
        <v/>
      </c>
      <c r="G271" s="54">
        <f>F271/1000</f>
        <v/>
      </c>
      <c r="H271" s="55">
        <f>IF(F271&lt;200,"⚠️ BAIXO",IF(F271&lt;500,"📦 OK","✅ CHEIO"))</f>
        <v/>
      </c>
    </row>
    <row r="272" ht="18" customHeight="1" s="109">
      <c r="A272" s="19" t="inlineStr">
        <is>
          <t>Elegoo | ABS | Azul</t>
        </is>
      </c>
      <c r="B272" s="46" t="inlineStr">
        <is>
          <t>ABS</t>
        </is>
      </c>
      <c r="C272" s="91" t="n">
        <v>0</v>
      </c>
      <c r="D272" s="91" t="n">
        <v>0</v>
      </c>
      <c r="E272" s="91" t="n">
        <v>0</v>
      </c>
      <c r="F272" s="53">
        <f>C272+D272-E272</f>
        <v/>
      </c>
      <c r="G272" s="54">
        <f>F272/1000</f>
        <v/>
      </c>
      <c r="H272" s="55">
        <f>IF(F272&lt;200,"⚠️ BAIXO",IF(F272&lt;500,"📦 OK","✅ CHEIO"))</f>
        <v/>
      </c>
    </row>
    <row r="273" ht="18" customHeight="1" s="109">
      <c r="A273" s="15" t="inlineStr">
        <is>
          <t>Elegoo | TPU 95A | Preto</t>
        </is>
      </c>
      <c r="B273" s="33" t="inlineStr">
        <is>
          <t>TPU 95A</t>
        </is>
      </c>
      <c r="C273" s="91" t="n">
        <v>0</v>
      </c>
      <c r="D273" s="91" t="n">
        <v>0</v>
      </c>
      <c r="E273" s="91" t="n">
        <v>0</v>
      </c>
      <c r="F273" s="53">
        <f>C273+D273-E273</f>
        <v/>
      </c>
      <c r="G273" s="54">
        <f>F273/1000</f>
        <v/>
      </c>
      <c r="H273" s="55">
        <f>IF(F273&lt;200,"⚠️ BAIXO",IF(F273&lt;500,"📦 OK","✅ CHEIO"))</f>
        <v/>
      </c>
    </row>
    <row r="274" ht="18" customHeight="1" s="109">
      <c r="A274" s="19" t="inlineStr">
        <is>
          <t>Elegoo | TPU 95A | Branco</t>
        </is>
      </c>
      <c r="B274" s="46" t="inlineStr">
        <is>
          <t>TPU 95A</t>
        </is>
      </c>
      <c r="C274" s="91" t="n">
        <v>0</v>
      </c>
      <c r="D274" s="91" t="n">
        <v>0</v>
      </c>
      <c r="E274" s="91" t="n">
        <v>0</v>
      </c>
      <c r="F274" s="53">
        <f>C274+D274-E274</f>
        <v/>
      </c>
      <c r="G274" s="54">
        <f>F274/1000</f>
        <v/>
      </c>
      <c r="H274" s="55">
        <f>IF(F274&lt;200,"⚠️ BAIXO",IF(F274&lt;500,"📦 OK","✅ CHEIO"))</f>
        <v/>
      </c>
    </row>
    <row r="275" ht="18" customHeight="1" s="109">
      <c r="A275" s="15" t="inlineStr">
        <is>
          <t>Elegoo | TPU 95A | Transparente</t>
        </is>
      </c>
      <c r="B275" s="33" t="inlineStr">
        <is>
          <t>TPU 95A</t>
        </is>
      </c>
      <c r="C275" s="91" t="n">
        <v>0</v>
      </c>
      <c r="D275" s="91" t="n">
        <v>0</v>
      </c>
      <c r="E275" s="91" t="n">
        <v>0</v>
      </c>
      <c r="F275" s="53">
        <f>C275+D275-E275</f>
        <v/>
      </c>
      <c r="G275" s="54">
        <f>F275/1000</f>
        <v/>
      </c>
      <c r="H275" s="55">
        <f>IF(F275&lt;200,"⚠️ BAIXO",IF(F275&lt;500,"📦 OK","✅ CHEIO"))</f>
        <v/>
      </c>
    </row>
    <row r="276" ht="18" customHeight="1" s="109">
      <c r="A276" s="19" t="inlineStr">
        <is>
          <t>Elegoo | TPU 95A | Azul</t>
        </is>
      </c>
      <c r="B276" s="46" t="inlineStr">
        <is>
          <t>TPU 95A</t>
        </is>
      </c>
      <c r="C276" s="91" t="n">
        <v>0</v>
      </c>
      <c r="D276" s="91" t="n">
        <v>0</v>
      </c>
      <c r="E276" s="91" t="n">
        <v>0</v>
      </c>
      <c r="F276" s="53">
        <f>C276+D276-E276</f>
        <v/>
      </c>
      <c r="G276" s="54">
        <f>F276/1000</f>
        <v/>
      </c>
      <c r="H276" s="55">
        <f>IF(F276&lt;200,"⚠️ BAIXO",IF(F276&lt;500,"📦 OK","✅ CHEIO"))</f>
        <v/>
      </c>
    </row>
    <row r="277" ht="18" customHeight="1" s="109">
      <c r="A277" s="15" t="inlineStr">
        <is>
          <t>Elegoo | TPU 95A | Vermelho</t>
        </is>
      </c>
      <c r="B277" s="33" t="inlineStr">
        <is>
          <t>TPU 95A</t>
        </is>
      </c>
      <c r="C277" s="91" t="n">
        <v>0</v>
      </c>
      <c r="D277" s="91" t="n">
        <v>0</v>
      </c>
      <c r="E277" s="91" t="n">
        <v>0</v>
      </c>
      <c r="F277" s="53">
        <f>C277+D277-E277</f>
        <v/>
      </c>
      <c r="G277" s="54">
        <f>F277/1000</f>
        <v/>
      </c>
      <c r="H277" s="55">
        <f>IF(F277&lt;200,"⚠️ BAIXO",IF(F277&lt;500,"📦 OK","✅ CHEIO"))</f>
        <v/>
      </c>
    </row>
    <row r="278" ht="18" customHeight="1" s="109">
      <c r="A278" s="19" t="inlineStr">
        <is>
          <t>Elegoo | PA-HT (Nylon) | Preto</t>
        </is>
      </c>
      <c r="B278" s="46" t="inlineStr">
        <is>
          <t>PA-HT (Nylon)</t>
        </is>
      </c>
      <c r="C278" s="91" t="n">
        <v>0</v>
      </c>
      <c r="D278" s="91" t="n">
        <v>0</v>
      </c>
      <c r="E278" s="91" t="n">
        <v>0</v>
      </c>
      <c r="F278" s="53">
        <f>C278+D278-E278</f>
        <v/>
      </c>
      <c r="G278" s="54">
        <f>F278/1000</f>
        <v/>
      </c>
      <c r="H278" s="55">
        <f>IF(F278&lt;200,"⚠️ BAIXO",IF(F278&lt;500,"📦 OK","✅ CHEIO"))</f>
        <v/>
      </c>
    </row>
    <row r="279" ht="18" customHeight="1" s="109">
      <c r="A279" s="15" t="inlineStr">
        <is>
          <t>Elegoo | PA-HT (Nylon) | Natural</t>
        </is>
      </c>
      <c r="B279" s="33" t="inlineStr">
        <is>
          <t>PA-HT (Nylon)</t>
        </is>
      </c>
      <c r="C279" s="91" t="n">
        <v>0</v>
      </c>
      <c r="D279" s="91" t="n">
        <v>0</v>
      </c>
      <c r="E279" s="91" t="n">
        <v>0</v>
      </c>
      <c r="F279" s="53">
        <f>C279+D279-E279</f>
        <v/>
      </c>
      <c r="G279" s="54">
        <f>F279/1000</f>
        <v/>
      </c>
      <c r="H279" s="55">
        <f>IF(F279&lt;200,"⚠️ BAIXO",IF(F279&lt;500,"📦 OK","✅ CHEIO"))</f>
        <v/>
      </c>
    </row>
    <row r="280" ht="18" customHeight="1" s="109">
      <c r="A280" s="19" t="inlineStr">
        <is>
          <t>Elegoo | PAHT-CF | Preto</t>
        </is>
      </c>
      <c r="B280" s="46" t="inlineStr">
        <is>
          <t>PAHT-CF</t>
        </is>
      </c>
      <c r="C280" s="91" t="n">
        <v>0</v>
      </c>
      <c r="D280" s="91" t="n">
        <v>0</v>
      </c>
      <c r="E280" s="91" t="n">
        <v>0</v>
      </c>
      <c r="F280" s="53">
        <f>C280+D280-E280</f>
        <v/>
      </c>
      <c r="G280" s="54">
        <f>F280/1000</f>
        <v/>
      </c>
      <c r="H280" s="55">
        <f>IF(F280&lt;200,"⚠️ BAIXO",IF(F280&lt;500,"📦 OK","✅ CHEIO"))</f>
        <v/>
      </c>
    </row>
    <row r="281" ht="18" customHeight="1" s="109">
      <c r="A281" s="15" t="inlineStr">
        <is>
          <t>Elegoo | PC | Preto</t>
        </is>
      </c>
      <c r="B281" s="33" t="inlineStr">
        <is>
          <t>PC</t>
        </is>
      </c>
      <c r="C281" s="91" t="n">
        <v>0</v>
      </c>
      <c r="D281" s="91" t="n">
        <v>0</v>
      </c>
      <c r="E281" s="91" t="n">
        <v>0</v>
      </c>
      <c r="F281" s="53">
        <f>C281+D281-E281</f>
        <v/>
      </c>
      <c r="G281" s="54">
        <f>F281/1000</f>
        <v/>
      </c>
      <c r="H281" s="55">
        <f>IF(F281&lt;200,"⚠️ BAIXO",IF(F281&lt;500,"📦 OK","✅ CHEIO"))</f>
        <v/>
      </c>
    </row>
    <row r="282" ht="18" customHeight="1" s="109">
      <c r="A282" s="19" t="inlineStr">
        <is>
          <t>Elegoo | PC | Branco</t>
        </is>
      </c>
      <c r="B282" s="46" t="inlineStr">
        <is>
          <t>PC</t>
        </is>
      </c>
      <c r="C282" s="91" t="n">
        <v>0</v>
      </c>
      <c r="D282" s="91" t="n">
        <v>0</v>
      </c>
      <c r="E282" s="91" t="n">
        <v>0</v>
      </c>
      <c r="F282" s="53">
        <f>C282+D282-E282</f>
        <v/>
      </c>
      <c r="G282" s="54">
        <f>F282/1000</f>
        <v/>
      </c>
      <c r="H282" s="55">
        <f>IF(F282&lt;200,"⚠️ BAIXO",IF(F282&lt;500,"📦 OK","✅ CHEIO"))</f>
        <v/>
      </c>
    </row>
    <row r="283" ht="18" customHeight="1" s="109">
      <c r="A283" s="15" t="inlineStr">
        <is>
          <t>Elegoo | PC | Transparente</t>
        </is>
      </c>
      <c r="B283" s="33" t="inlineStr">
        <is>
          <t>PC</t>
        </is>
      </c>
      <c r="C283" s="91" t="n">
        <v>0</v>
      </c>
      <c r="D283" s="91" t="n">
        <v>0</v>
      </c>
      <c r="E283" s="91" t="n">
        <v>0</v>
      </c>
      <c r="F283" s="53">
        <f>C283+D283-E283</f>
        <v/>
      </c>
      <c r="G283" s="54">
        <f>F283/1000</f>
        <v/>
      </c>
      <c r="H283" s="55">
        <f>IF(F283&lt;200,"⚠️ BAIXO",IF(F283&lt;500,"📦 OK","✅ CHEIO"))</f>
        <v/>
      </c>
    </row>
    <row r="284" ht="18" customHeight="1" s="109">
      <c r="A284" s="19" t="inlineStr">
        <is>
          <t>Voolt3D | PLA Sólido | Branco Dental</t>
        </is>
      </c>
      <c r="B284" s="46" t="inlineStr">
        <is>
          <t>PLA Sólido</t>
        </is>
      </c>
      <c r="C284" s="91" t="n">
        <v>0</v>
      </c>
      <c r="D284" s="91" t="n">
        <v>0</v>
      </c>
      <c r="E284" s="91" t="n">
        <v>0</v>
      </c>
      <c r="F284" s="53">
        <f>C284+D284-E284</f>
        <v/>
      </c>
      <c r="G284" s="54">
        <f>F284/1000</f>
        <v/>
      </c>
      <c r="H284" s="55">
        <f>IF(F284&lt;200,"⚠️ BAIXO",IF(F284&lt;500,"📦 OK","✅ CHEIO"))</f>
        <v/>
      </c>
    </row>
    <row r="285" ht="18" customHeight="1" s="109">
      <c r="A285" s="15" t="inlineStr">
        <is>
          <t>Voolt3D | PLA Sólido | Preto</t>
        </is>
      </c>
      <c r="B285" s="33" t="inlineStr">
        <is>
          <t>PLA Sólido</t>
        </is>
      </c>
      <c r="C285" s="91" t="n">
        <v>0</v>
      </c>
      <c r="D285" s="91" t="n">
        <v>0</v>
      </c>
      <c r="E285" s="91" t="n">
        <v>0</v>
      </c>
      <c r="F285" s="53">
        <f>C285+D285-E285</f>
        <v/>
      </c>
      <c r="G285" s="54">
        <f>F285/1000</f>
        <v/>
      </c>
      <c r="H285" s="55">
        <f>IF(F285&lt;200,"⚠️ BAIXO",IF(F285&lt;500,"📦 OK","✅ CHEIO"))</f>
        <v/>
      </c>
    </row>
    <row r="286" ht="18" customHeight="1" s="109">
      <c r="A286" s="19" t="inlineStr">
        <is>
          <t>Voolt3D | PLA Sólido | Vermelho</t>
        </is>
      </c>
      <c r="B286" s="46" t="inlineStr">
        <is>
          <t>PLA Sólido</t>
        </is>
      </c>
      <c r="C286" s="91" t="n">
        <v>0</v>
      </c>
      <c r="D286" s="91" t="n">
        <v>0</v>
      </c>
      <c r="E286" s="91" t="n">
        <v>0</v>
      </c>
      <c r="F286" s="53">
        <f>C286+D286-E286</f>
        <v/>
      </c>
      <c r="G286" s="54">
        <f>F286/1000</f>
        <v/>
      </c>
      <c r="H286" s="55">
        <f>IF(F286&lt;200,"⚠️ BAIXO",IF(F286&lt;500,"📦 OK","✅ CHEIO"))</f>
        <v/>
      </c>
    </row>
    <row r="287" ht="18" customHeight="1" s="109">
      <c r="A287" s="15" t="inlineStr">
        <is>
          <t>Voolt3D | PLA Sólido | Laranja</t>
        </is>
      </c>
      <c r="B287" s="33" t="inlineStr">
        <is>
          <t>PLA Sólido</t>
        </is>
      </c>
      <c r="C287" s="91" t="n">
        <v>0</v>
      </c>
      <c r="D287" s="91" t="n">
        <v>0</v>
      </c>
      <c r="E287" s="91" t="n">
        <v>0</v>
      </c>
      <c r="F287" s="53">
        <f>C287+D287-E287</f>
        <v/>
      </c>
      <c r="G287" s="54">
        <f>F287/1000</f>
        <v/>
      </c>
      <c r="H287" s="55">
        <f>IF(F287&lt;200,"⚠️ BAIXO",IF(F287&lt;500,"📦 OK","✅ CHEIO"))</f>
        <v/>
      </c>
    </row>
    <row r="288" ht="18" customHeight="1" s="109">
      <c r="A288" s="19" t="inlineStr">
        <is>
          <t>Voolt3D | PLA Sólido | Amarelo</t>
        </is>
      </c>
      <c r="B288" s="46" t="inlineStr">
        <is>
          <t>PLA Sólido</t>
        </is>
      </c>
      <c r="C288" s="91" t="n">
        <v>0</v>
      </c>
      <c r="D288" s="91" t="n">
        <v>0</v>
      </c>
      <c r="E288" s="91" t="n">
        <v>0</v>
      </c>
      <c r="F288" s="53">
        <f>C288+D288-E288</f>
        <v/>
      </c>
      <c r="G288" s="54">
        <f>F288/1000</f>
        <v/>
      </c>
      <c r="H288" s="55">
        <f>IF(F288&lt;200,"⚠️ BAIXO",IF(F288&lt;500,"📦 OK","✅ CHEIO"))</f>
        <v/>
      </c>
    </row>
    <row r="289" ht="18" customHeight="1" s="109">
      <c r="A289" s="15" t="inlineStr">
        <is>
          <t>Voolt3D | PLA Sólido | Verde</t>
        </is>
      </c>
      <c r="B289" s="33" t="inlineStr">
        <is>
          <t>PLA Sólido</t>
        </is>
      </c>
      <c r="C289" s="91" t="n">
        <v>0</v>
      </c>
      <c r="D289" s="91" t="n">
        <v>0</v>
      </c>
      <c r="E289" s="91" t="n">
        <v>0</v>
      </c>
      <c r="F289" s="53">
        <f>C289+D289-E289</f>
        <v/>
      </c>
      <c r="G289" s="54">
        <f>F289/1000</f>
        <v/>
      </c>
      <c r="H289" s="55">
        <f>IF(F289&lt;200,"⚠️ BAIXO",IF(F289&lt;500,"📦 OK","✅ CHEIO"))</f>
        <v/>
      </c>
    </row>
    <row r="290" ht="18" customHeight="1" s="109">
      <c r="A290" s="19" t="inlineStr">
        <is>
          <t>Voolt3D | PLA Sólido | Azul</t>
        </is>
      </c>
      <c r="B290" s="46" t="inlineStr">
        <is>
          <t>PLA Sólido</t>
        </is>
      </c>
      <c r="C290" s="91" t="n">
        <v>0</v>
      </c>
      <c r="D290" s="91" t="n">
        <v>0</v>
      </c>
      <c r="E290" s="91" t="n">
        <v>0</v>
      </c>
      <c r="F290" s="53">
        <f>C290+D290-E290</f>
        <v/>
      </c>
      <c r="G290" s="54">
        <f>F290/1000</f>
        <v/>
      </c>
      <c r="H290" s="55">
        <f>IF(F290&lt;200,"⚠️ BAIXO",IF(F290&lt;500,"📦 OK","✅ CHEIO"))</f>
        <v/>
      </c>
    </row>
    <row r="291" ht="18" customHeight="1" s="109">
      <c r="A291" s="15" t="inlineStr">
        <is>
          <t>Voolt3D | PLA Sólido | Roxo</t>
        </is>
      </c>
      <c r="B291" s="33" t="inlineStr">
        <is>
          <t>PLA Sólido</t>
        </is>
      </c>
      <c r="C291" s="91" t="n">
        <v>0</v>
      </c>
      <c r="D291" s="91" t="n">
        <v>0</v>
      </c>
      <c r="E291" s="91" t="n">
        <v>0</v>
      </c>
      <c r="F291" s="53">
        <f>C291+D291-E291</f>
        <v/>
      </c>
      <c r="G291" s="54">
        <f>F291/1000</f>
        <v/>
      </c>
      <c r="H291" s="55">
        <f>IF(F291&lt;200,"⚠️ BAIXO",IF(F291&lt;500,"📦 OK","✅ CHEIO"))</f>
        <v/>
      </c>
    </row>
    <row r="292" ht="18" customHeight="1" s="109">
      <c r="A292" s="19" t="inlineStr">
        <is>
          <t>Voolt3D | PLA Sólido | Azul Cyan</t>
        </is>
      </c>
      <c r="B292" s="46" t="inlineStr">
        <is>
          <t>PLA Sólido</t>
        </is>
      </c>
      <c r="C292" s="91" t="n">
        <v>0</v>
      </c>
      <c r="D292" s="91" t="n">
        <v>0</v>
      </c>
      <c r="E292" s="91" t="n">
        <v>0</v>
      </c>
      <c r="F292" s="53">
        <f>C292+D292-E292</f>
        <v/>
      </c>
      <c r="G292" s="54">
        <f>F292/1000</f>
        <v/>
      </c>
      <c r="H292" s="55">
        <f>IF(F292&lt;200,"⚠️ BAIXO",IF(F292&lt;500,"📦 OK","✅ CHEIO"))</f>
        <v/>
      </c>
    </row>
    <row r="293" ht="18" customHeight="1" s="109">
      <c r="A293" s="15" t="inlineStr">
        <is>
          <t>Voolt3D | PLA Sólido | Rosa Bebê</t>
        </is>
      </c>
      <c r="B293" s="33" t="inlineStr">
        <is>
          <t>PLA Sólido</t>
        </is>
      </c>
      <c r="C293" s="91" t="n">
        <v>0</v>
      </c>
      <c r="D293" s="91" t="n">
        <v>0</v>
      </c>
      <c r="E293" s="91" t="n">
        <v>0</v>
      </c>
      <c r="F293" s="53">
        <f>C293+D293-E293</f>
        <v/>
      </c>
      <c r="G293" s="54">
        <f>F293/1000</f>
        <v/>
      </c>
      <c r="H293" s="55">
        <f>IF(F293&lt;200,"⚠️ BAIXO",IF(F293&lt;500,"📦 OK","✅ CHEIO"))</f>
        <v/>
      </c>
    </row>
    <row r="294" ht="18" customHeight="1" s="109">
      <c r="A294" s="19" t="inlineStr">
        <is>
          <t>Voolt3D | PLA Sólido | Cinza</t>
        </is>
      </c>
      <c r="B294" s="46" t="inlineStr">
        <is>
          <t>PLA Sólido</t>
        </is>
      </c>
      <c r="C294" s="91" t="n">
        <v>0</v>
      </c>
      <c r="D294" s="91" t="n">
        <v>0</v>
      </c>
      <c r="E294" s="91" t="n">
        <v>0</v>
      </c>
      <c r="F294" s="53">
        <f>C294+D294-E294</f>
        <v/>
      </c>
      <c r="G294" s="54">
        <f>F294/1000</f>
        <v/>
      </c>
      <c r="H294" s="55">
        <f>IF(F294&lt;200,"⚠️ BAIXO",IF(F294&lt;500,"📦 OK","✅ CHEIO"))</f>
        <v/>
      </c>
    </row>
    <row r="295" ht="18" customHeight="1" s="109">
      <c r="A295" s="15" t="inlineStr">
        <is>
          <t>Voolt3D | PLA Sólido | Verde Tiffany</t>
        </is>
      </c>
      <c r="B295" s="33" t="inlineStr">
        <is>
          <t>PLA Sólido</t>
        </is>
      </c>
      <c r="C295" s="91" t="n">
        <v>0</v>
      </c>
      <c r="D295" s="91" t="n">
        <v>0</v>
      </c>
      <c r="E295" s="91" t="n">
        <v>0</v>
      </c>
      <c r="F295" s="53">
        <f>C295+D295-E295</f>
        <v/>
      </c>
      <c r="G295" s="54">
        <f>F295/1000</f>
        <v/>
      </c>
      <c r="H295" s="55">
        <f>IF(F295&lt;200,"⚠️ BAIXO",IF(F295&lt;500,"📦 OK","✅ CHEIO"))</f>
        <v/>
      </c>
    </row>
    <row r="296" ht="18" customHeight="1" s="109">
      <c r="A296" s="19" t="inlineStr">
        <is>
          <t>Voolt3D | PLA Velvet | Branco Off White</t>
        </is>
      </c>
      <c r="B296" s="46" t="inlineStr">
        <is>
          <t>PLA Velvet</t>
        </is>
      </c>
      <c r="C296" s="91" t="n">
        <v>0</v>
      </c>
      <c r="D296" s="91" t="n">
        <v>0</v>
      </c>
      <c r="E296" s="91" t="n">
        <v>0</v>
      </c>
      <c r="F296" s="53">
        <f>C296+D296-E296</f>
        <v/>
      </c>
      <c r="G296" s="54">
        <f>F296/1000</f>
        <v/>
      </c>
      <c r="H296" s="55">
        <f>IF(F296&lt;200,"⚠️ BAIXO",IF(F296&lt;500,"📦 OK","✅ CHEIO"))</f>
        <v/>
      </c>
    </row>
    <row r="297" ht="18" customHeight="1" s="109">
      <c r="A297" s="15" t="inlineStr">
        <is>
          <t>Voolt3D | PLA Velvet | Vermelho</t>
        </is>
      </c>
      <c r="B297" s="33" t="inlineStr">
        <is>
          <t>PLA Velvet</t>
        </is>
      </c>
      <c r="C297" s="91" t="n">
        <v>0</v>
      </c>
      <c r="D297" s="91" t="n">
        <v>0</v>
      </c>
      <c r="E297" s="91" t="n">
        <v>0</v>
      </c>
      <c r="F297" s="53">
        <f>C297+D297-E297</f>
        <v/>
      </c>
      <c r="G297" s="54">
        <f>F297/1000</f>
        <v/>
      </c>
      <c r="H297" s="55">
        <f>IF(F297&lt;200,"⚠️ BAIXO",IF(F297&lt;500,"📦 OK","✅ CHEIO"))</f>
        <v/>
      </c>
    </row>
    <row r="298" ht="18" customHeight="1" s="109">
      <c r="A298" s="19" t="inlineStr">
        <is>
          <t>Voolt3D | PLA Velvet | Azul</t>
        </is>
      </c>
      <c r="B298" s="46" t="inlineStr">
        <is>
          <t>PLA Velvet</t>
        </is>
      </c>
      <c r="C298" s="91" t="n">
        <v>0</v>
      </c>
      <c r="D298" s="91" t="n">
        <v>0</v>
      </c>
      <c r="E298" s="91" t="n">
        <v>0</v>
      </c>
      <c r="F298" s="53">
        <f>C298+D298-E298</f>
        <v/>
      </c>
      <c r="G298" s="54">
        <f>F298/1000</f>
        <v/>
      </c>
      <c r="H298" s="55">
        <f>IF(F298&lt;200,"⚠️ BAIXO",IF(F298&lt;500,"📦 OK","✅ CHEIO"))</f>
        <v/>
      </c>
    </row>
    <row r="299" ht="18" customHeight="1" s="109">
      <c r="A299" s="15" t="inlineStr">
        <is>
          <t>Voolt3D | PLA Velvet | Cinza Claro</t>
        </is>
      </c>
      <c r="B299" s="33" t="inlineStr">
        <is>
          <t>PLA Velvet</t>
        </is>
      </c>
      <c r="C299" s="91" t="n">
        <v>0</v>
      </c>
      <c r="D299" s="91" t="n">
        <v>0</v>
      </c>
      <c r="E299" s="91" t="n">
        <v>0</v>
      </c>
      <c r="F299" s="53">
        <f>C299+D299-E299</f>
        <v/>
      </c>
      <c r="G299" s="54">
        <f>F299/1000</f>
        <v/>
      </c>
      <c r="H299" s="55">
        <f>IF(F299&lt;200,"⚠️ BAIXO",IF(F299&lt;500,"📦 OK","✅ CHEIO"))</f>
        <v/>
      </c>
    </row>
    <row r="300" ht="18" customHeight="1" s="109">
      <c r="A300" s="19" t="inlineStr">
        <is>
          <t>Voolt3D | PLA Velvet | Verde Macaron</t>
        </is>
      </c>
      <c r="B300" s="46" t="inlineStr">
        <is>
          <t>PLA Velvet</t>
        </is>
      </c>
      <c r="C300" s="91" t="n">
        <v>0</v>
      </c>
      <c r="D300" s="91" t="n">
        <v>0</v>
      </c>
      <c r="E300" s="91" t="n">
        <v>0</v>
      </c>
      <c r="F300" s="53">
        <f>C300+D300-E300</f>
        <v/>
      </c>
      <c r="G300" s="54">
        <f>F300/1000</f>
        <v/>
      </c>
      <c r="H300" s="55">
        <f>IF(F300&lt;200,"⚠️ BAIXO",IF(F300&lt;500,"📦 OK","✅ CHEIO"))</f>
        <v/>
      </c>
    </row>
    <row r="301" ht="18" customHeight="1" s="109">
      <c r="A301" s="15" t="inlineStr">
        <is>
          <t>Voolt3D | PLA Velvet | Amarelo Macaron</t>
        </is>
      </c>
      <c r="B301" s="33" t="inlineStr">
        <is>
          <t>PLA Velvet</t>
        </is>
      </c>
      <c r="C301" s="91" t="n">
        <v>0</v>
      </c>
      <c r="D301" s="91" t="n">
        <v>0</v>
      </c>
      <c r="E301" s="91" t="n">
        <v>0</v>
      </c>
      <c r="F301" s="53">
        <f>C301+D301-E301</f>
        <v/>
      </c>
      <c r="G301" s="54">
        <f>F301/1000</f>
        <v/>
      </c>
      <c r="H301" s="55">
        <f>IF(F301&lt;200,"⚠️ BAIXO",IF(F301&lt;500,"📦 OK","✅ CHEIO"))</f>
        <v/>
      </c>
    </row>
    <row r="302" ht="18" customHeight="1" s="109">
      <c r="A302" s="19" t="inlineStr">
        <is>
          <t>Voolt3D | PLA Velvet | Bege Caucasiano</t>
        </is>
      </c>
      <c r="B302" s="46" t="inlineStr">
        <is>
          <t>PLA Velvet</t>
        </is>
      </c>
      <c r="C302" s="91" t="n">
        <v>0</v>
      </c>
      <c r="D302" s="91" t="n">
        <v>0</v>
      </c>
      <c r="E302" s="91" t="n">
        <v>0</v>
      </c>
      <c r="F302" s="53">
        <f>C302+D302-E302</f>
        <v/>
      </c>
      <c r="G302" s="54">
        <f>F302/1000</f>
        <v/>
      </c>
      <c r="H302" s="55">
        <f>IF(F302&lt;200,"⚠️ BAIXO",IF(F302&lt;500,"📦 OK","✅ CHEIO"))</f>
        <v/>
      </c>
    </row>
    <row r="303" ht="18" customHeight="1" s="109">
      <c r="A303" s="15" t="inlineStr">
        <is>
          <t>Voolt3D | PLA Velvet Macaron | Verde Macaron</t>
        </is>
      </c>
      <c r="B303" s="33" t="inlineStr">
        <is>
          <t>PLA Velvet Macaron</t>
        </is>
      </c>
      <c r="C303" s="91" t="n">
        <v>0</v>
      </c>
      <c r="D303" s="91" t="n">
        <v>0</v>
      </c>
      <c r="E303" s="91" t="n">
        <v>0</v>
      </c>
      <c r="F303" s="53">
        <f>C303+D303-E303</f>
        <v/>
      </c>
      <c r="G303" s="54">
        <f>F303/1000</f>
        <v/>
      </c>
      <c r="H303" s="55">
        <f>IF(F303&lt;200,"⚠️ BAIXO",IF(F303&lt;500,"📦 OK","✅ CHEIO"))</f>
        <v/>
      </c>
    </row>
    <row r="304" ht="18" customHeight="1" s="109">
      <c r="A304" s="19" t="inlineStr">
        <is>
          <t>Voolt3D | PLA Velvet Macaron | Amarelo Macaron</t>
        </is>
      </c>
      <c r="B304" s="46" t="inlineStr">
        <is>
          <t>PLA Velvet Macaron</t>
        </is>
      </c>
      <c r="C304" s="91" t="n">
        <v>0</v>
      </c>
      <c r="D304" s="91" t="n">
        <v>0</v>
      </c>
      <c r="E304" s="91" t="n">
        <v>0</v>
      </c>
      <c r="F304" s="53">
        <f>C304+D304-E304</f>
        <v/>
      </c>
      <c r="G304" s="54">
        <f>F304/1000</f>
        <v/>
      </c>
      <c r="H304" s="55">
        <f>IF(F304&lt;200,"⚠️ BAIXO",IF(F304&lt;500,"📦 OK","✅ CHEIO"))</f>
        <v/>
      </c>
    </row>
    <row r="305" ht="18" customHeight="1" s="109">
      <c r="A305" s="15" t="inlineStr">
        <is>
          <t>Voolt3D | PLA Velvet Macaron | Laranja Macaron</t>
        </is>
      </c>
      <c r="B305" s="33" t="inlineStr">
        <is>
          <t>PLA Velvet Macaron</t>
        </is>
      </c>
      <c r="C305" s="91" t="n">
        <v>0</v>
      </c>
      <c r="D305" s="91" t="n">
        <v>0</v>
      </c>
      <c r="E305" s="91" t="n">
        <v>0</v>
      </c>
      <c r="F305" s="53">
        <f>C305+D305-E305</f>
        <v/>
      </c>
      <c r="G305" s="54">
        <f>F305/1000</f>
        <v/>
      </c>
      <c r="H305" s="55">
        <f>IF(F305&lt;200,"⚠️ BAIXO",IF(F305&lt;500,"📦 OK","✅ CHEIO"))</f>
        <v/>
      </c>
    </row>
    <row r="306" ht="18" customHeight="1" s="109">
      <c r="A306" s="19" t="inlineStr">
        <is>
          <t>Voolt3D | PLA Velvet Macaron | Rosa</t>
        </is>
      </c>
      <c r="B306" s="46" t="inlineStr">
        <is>
          <t>PLA Velvet Macaron</t>
        </is>
      </c>
      <c r="C306" s="91" t="n">
        <v>0</v>
      </c>
      <c r="D306" s="91" t="n">
        <v>0</v>
      </c>
      <c r="E306" s="91" t="n">
        <v>0</v>
      </c>
      <c r="F306" s="53">
        <f>C306+D306-E306</f>
        <v/>
      </c>
      <c r="G306" s="54">
        <f>F306/1000</f>
        <v/>
      </c>
      <c r="H306" s="55">
        <f>IF(F306&lt;200,"⚠️ BAIXO",IF(F306&lt;500,"📦 OK","✅ CHEIO"))</f>
        <v/>
      </c>
    </row>
    <row r="307" ht="18" customHeight="1" s="109">
      <c r="A307" s="15" t="inlineStr">
        <is>
          <t>Voolt3D | PLA V-Silk | Dourado</t>
        </is>
      </c>
      <c r="B307" s="33" t="inlineStr">
        <is>
          <t>PLA V-Silk</t>
        </is>
      </c>
      <c r="C307" s="91" t="n">
        <v>0</v>
      </c>
      <c r="D307" s="91" t="n">
        <v>0</v>
      </c>
      <c r="E307" s="91" t="n">
        <v>0</v>
      </c>
      <c r="F307" s="53">
        <f>C307+D307-E307</f>
        <v/>
      </c>
      <c r="G307" s="54">
        <f>F307/1000</f>
        <v/>
      </c>
      <c r="H307" s="55">
        <f>IF(F307&lt;200,"⚠️ BAIXO",IF(F307&lt;500,"📦 OK","✅ CHEIO"))</f>
        <v/>
      </c>
    </row>
    <row r="308" ht="18" customHeight="1" s="109">
      <c r="A308" s="19" t="inlineStr">
        <is>
          <t>Voolt3D | PLA V-Silk | Prata</t>
        </is>
      </c>
      <c r="B308" s="46" t="inlineStr">
        <is>
          <t>PLA V-Silk</t>
        </is>
      </c>
      <c r="C308" s="91" t="n">
        <v>0</v>
      </c>
      <c r="D308" s="91" t="n">
        <v>0</v>
      </c>
      <c r="E308" s="91" t="n">
        <v>0</v>
      </c>
      <c r="F308" s="53">
        <f>C308+D308-E308</f>
        <v/>
      </c>
      <c r="G308" s="54">
        <f>F308/1000</f>
        <v/>
      </c>
      <c r="H308" s="55">
        <f>IF(F308&lt;200,"⚠️ BAIXO",IF(F308&lt;500,"📦 OK","✅ CHEIO"))</f>
        <v/>
      </c>
    </row>
    <row r="309" ht="18" customHeight="1" s="109">
      <c r="A309" s="15" t="inlineStr">
        <is>
          <t>Voolt3D | PLA V-Silk | Cobre</t>
        </is>
      </c>
      <c r="B309" s="33" t="inlineStr">
        <is>
          <t>PLA V-Silk</t>
        </is>
      </c>
      <c r="C309" s="91" t="n">
        <v>0</v>
      </c>
      <c r="D309" s="91" t="n">
        <v>0</v>
      </c>
      <c r="E309" s="91" t="n">
        <v>0</v>
      </c>
      <c r="F309" s="53">
        <f>C309+D309-E309</f>
        <v/>
      </c>
      <c r="G309" s="54">
        <f>F309/1000</f>
        <v/>
      </c>
      <c r="H309" s="55">
        <f>IF(F309&lt;200,"⚠️ BAIXO",IF(F309&lt;500,"📦 OK","✅ CHEIO"))</f>
        <v/>
      </c>
    </row>
    <row r="310" ht="18" customHeight="1" s="109">
      <c r="A310" s="19" t="inlineStr">
        <is>
          <t>Voolt3D | PLA V-Silk | Azul Metálico</t>
        </is>
      </c>
      <c r="B310" s="46" t="inlineStr">
        <is>
          <t>PLA V-Silk</t>
        </is>
      </c>
      <c r="C310" s="91" t="n">
        <v>0</v>
      </c>
      <c r="D310" s="91" t="n">
        <v>0</v>
      </c>
      <c r="E310" s="91" t="n">
        <v>0</v>
      </c>
      <c r="F310" s="53">
        <f>C310+D310-E310</f>
        <v/>
      </c>
      <c r="G310" s="54">
        <f>F310/1000</f>
        <v/>
      </c>
      <c r="H310" s="55">
        <f>IF(F310&lt;200,"⚠️ BAIXO",IF(F310&lt;500,"📦 OK","✅ CHEIO"))</f>
        <v/>
      </c>
    </row>
    <row r="311" ht="18" customHeight="1" s="109">
      <c r="A311" s="15" t="inlineStr">
        <is>
          <t>Voolt3D | PLA V-Silk | Vermelho</t>
        </is>
      </c>
      <c r="B311" s="33" t="inlineStr">
        <is>
          <t>PLA V-Silk</t>
        </is>
      </c>
      <c r="C311" s="91" t="n">
        <v>0</v>
      </c>
      <c r="D311" s="91" t="n">
        <v>0</v>
      </c>
      <c r="E311" s="91" t="n">
        <v>0</v>
      </c>
      <c r="F311" s="53">
        <f>C311+D311-E311</f>
        <v/>
      </c>
      <c r="G311" s="54">
        <f>F311/1000</f>
        <v/>
      </c>
      <c r="H311" s="55">
        <f>IF(F311&lt;200,"⚠️ BAIXO",IF(F311&lt;500,"📦 OK","✅ CHEIO"))</f>
        <v/>
      </c>
    </row>
    <row r="312" ht="18" customHeight="1" s="109">
      <c r="A312" s="19" t="inlineStr">
        <is>
          <t>Voolt3D | PLA V-Silk | Verde</t>
        </is>
      </c>
      <c r="B312" s="46" t="inlineStr">
        <is>
          <t>PLA V-Silk</t>
        </is>
      </c>
      <c r="C312" s="91" t="n">
        <v>0</v>
      </c>
      <c r="D312" s="91" t="n">
        <v>0</v>
      </c>
      <c r="E312" s="91" t="n">
        <v>0</v>
      </c>
      <c r="F312" s="53">
        <f>C312+D312-E312</f>
        <v/>
      </c>
      <c r="G312" s="54">
        <f>F312/1000</f>
        <v/>
      </c>
      <c r="H312" s="55">
        <f>IF(F312&lt;200,"⚠️ BAIXO",IF(F312&lt;500,"📦 OK","✅ CHEIO"))</f>
        <v/>
      </c>
    </row>
    <row r="313" ht="18" customHeight="1" s="109">
      <c r="A313" s="15" t="inlineStr">
        <is>
          <t>Voolt3D | PLA V-Silk | Alumínio</t>
        </is>
      </c>
      <c r="B313" s="33" t="inlineStr">
        <is>
          <t>PLA V-Silk</t>
        </is>
      </c>
      <c r="C313" s="91" t="n">
        <v>0</v>
      </c>
      <c r="D313" s="91" t="n">
        <v>0</v>
      </c>
      <c r="E313" s="91" t="n">
        <v>0</v>
      </c>
      <c r="F313" s="53">
        <f>C313+D313-E313</f>
        <v/>
      </c>
      <c r="G313" s="54">
        <f>F313/1000</f>
        <v/>
      </c>
      <c r="H313" s="55">
        <f>IF(F313&lt;200,"⚠️ BAIXO",IF(F313&lt;500,"📦 OK","✅ CHEIO"))</f>
        <v/>
      </c>
    </row>
    <row r="314" ht="18" customHeight="1" s="109">
      <c r="A314" s="19" t="inlineStr">
        <is>
          <t>Voolt3D | PLA Duo Color Shadow | Vermelho com Preto</t>
        </is>
      </c>
      <c r="B314" s="46" t="inlineStr">
        <is>
          <t>PLA Duo Color Shadow</t>
        </is>
      </c>
      <c r="C314" s="91" t="n">
        <v>0</v>
      </c>
      <c r="D314" s="91" t="n">
        <v>0</v>
      </c>
      <c r="E314" s="91" t="n">
        <v>0</v>
      </c>
      <c r="F314" s="53">
        <f>C314+D314-E314</f>
        <v/>
      </c>
      <c r="G314" s="54">
        <f>F314/1000</f>
        <v/>
      </c>
      <c r="H314" s="55">
        <f>IF(F314&lt;200,"⚠️ BAIXO",IF(F314&lt;500,"📦 OK","✅ CHEIO"))</f>
        <v/>
      </c>
    </row>
    <row r="315" ht="18" customHeight="1" s="109">
      <c r="A315" s="15" t="inlineStr">
        <is>
          <t>Voolt3D | PLA Duo Color Shadow | Azul com Preto</t>
        </is>
      </c>
      <c r="B315" s="33" t="inlineStr">
        <is>
          <t>PLA Duo Color Shadow</t>
        </is>
      </c>
      <c r="C315" s="91" t="n">
        <v>0</v>
      </c>
      <c r="D315" s="91" t="n">
        <v>0</v>
      </c>
      <c r="E315" s="91" t="n">
        <v>0</v>
      </c>
      <c r="F315" s="53">
        <f>C315+D315-E315</f>
        <v/>
      </c>
      <c r="G315" s="54">
        <f>F315/1000</f>
        <v/>
      </c>
      <c r="H315" s="55">
        <f>IF(F315&lt;200,"⚠️ BAIXO",IF(F315&lt;500,"📦 OK","✅ CHEIO"))</f>
        <v/>
      </c>
    </row>
    <row r="316" ht="18" customHeight="1" s="109">
      <c r="A316" s="19" t="inlineStr">
        <is>
          <t>Voolt3D | PLA Duo Color Shadow | Verde com Preto</t>
        </is>
      </c>
      <c r="B316" s="46" t="inlineStr">
        <is>
          <t>PLA Duo Color Shadow</t>
        </is>
      </c>
      <c r="C316" s="91" t="n">
        <v>0</v>
      </c>
      <c r="D316" s="91" t="n">
        <v>0</v>
      </c>
      <c r="E316" s="91" t="n">
        <v>0</v>
      </c>
      <c r="F316" s="53">
        <f>C316+D316-E316</f>
        <v/>
      </c>
      <c r="G316" s="54">
        <f>F316/1000</f>
        <v/>
      </c>
      <c r="H316" s="55">
        <f>IF(F316&lt;200,"⚠️ BAIXO",IF(F316&lt;500,"📦 OK","✅ CHEIO"))</f>
        <v/>
      </c>
    </row>
    <row r="317" ht="18" customHeight="1" s="109">
      <c r="A317" s="15" t="inlineStr">
        <is>
          <t>Voolt3D | PLA Tri Color | Arco-Íris</t>
        </is>
      </c>
      <c r="B317" s="33" t="inlineStr">
        <is>
          <t>PLA Tri Color</t>
        </is>
      </c>
      <c r="C317" s="91" t="n">
        <v>0</v>
      </c>
      <c r="D317" s="91" t="n">
        <v>0</v>
      </c>
      <c r="E317" s="91" t="n">
        <v>0</v>
      </c>
      <c r="F317" s="53">
        <f>C317+D317-E317</f>
        <v/>
      </c>
      <c r="G317" s="54">
        <f>F317/1000</f>
        <v/>
      </c>
      <c r="H317" s="55">
        <f>IF(F317&lt;200,"⚠️ BAIXO",IF(F317&lt;500,"📦 OK","✅ CHEIO"))</f>
        <v/>
      </c>
    </row>
    <row r="318" ht="18" customHeight="1" s="109">
      <c r="A318" s="19" t="inlineStr">
        <is>
          <t>Voolt3D | PLA Tri Color | Combinações variadas</t>
        </is>
      </c>
      <c r="B318" s="46" t="inlineStr">
        <is>
          <t>PLA Tri Color</t>
        </is>
      </c>
      <c r="C318" s="91" t="n">
        <v>0</v>
      </c>
      <c r="D318" s="91" t="n">
        <v>0</v>
      </c>
      <c r="E318" s="91" t="n">
        <v>0</v>
      </c>
      <c r="F318" s="53">
        <f>C318+D318-E318</f>
        <v/>
      </c>
      <c r="G318" s="54">
        <f>F318/1000</f>
        <v/>
      </c>
      <c r="H318" s="55">
        <f>IF(F318&lt;200,"⚠️ BAIXO",IF(F318&lt;500,"📦 OK","✅ CHEIO"))</f>
        <v/>
      </c>
    </row>
    <row r="319" ht="18" customHeight="1" s="109">
      <c r="A319" s="15" t="inlineStr">
        <is>
          <t>Voolt3D | PLA Neon | Verde Neon</t>
        </is>
      </c>
      <c r="B319" s="33" t="inlineStr">
        <is>
          <t>PLA Neon</t>
        </is>
      </c>
      <c r="C319" s="91" t="n">
        <v>0</v>
      </c>
      <c r="D319" s="91" t="n">
        <v>0</v>
      </c>
      <c r="E319" s="91" t="n">
        <v>0</v>
      </c>
      <c r="F319" s="53">
        <f>C319+D319-E319</f>
        <v/>
      </c>
      <c r="G319" s="54">
        <f>F319/1000</f>
        <v/>
      </c>
      <c r="H319" s="55">
        <f>IF(F319&lt;200,"⚠️ BAIXO",IF(F319&lt;500,"📦 OK","✅ CHEIO"))</f>
        <v/>
      </c>
    </row>
    <row r="320" ht="18" customHeight="1" s="109">
      <c r="A320" s="19" t="inlineStr">
        <is>
          <t>Voolt3D | PLA Neon | Amarelo Neon</t>
        </is>
      </c>
      <c r="B320" s="46" t="inlineStr">
        <is>
          <t>PLA Neon</t>
        </is>
      </c>
      <c r="C320" s="91" t="n">
        <v>0</v>
      </c>
      <c r="D320" s="91" t="n">
        <v>0</v>
      </c>
      <c r="E320" s="91" t="n">
        <v>0</v>
      </c>
      <c r="F320" s="53">
        <f>C320+D320-E320</f>
        <v/>
      </c>
      <c r="G320" s="54">
        <f>F320/1000</f>
        <v/>
      </c>
      <c r="H320" s="55">
        <f>IF(F320&lt;200,"⚠️ BAIXO",IF(F320&lt;500,"📦 OK","✅ CHEIO"))</f>
        <v/>
      </c>
    </row>
    <row r="321" ht="18" customHeight="1" s="109">
      <c r="A321" s="15" t="inlineStr">
        <is>
          <t>Voolt3D | PLA Neon | Rosa Neon</t>
        </is>
      </c>
      <c r="B321" s="33" t="inlineStr">
        <is>
          <t>PLA Neon</t>
        </is>
      </c>
      <c r="C321" s="91" t="n">
        <v>0</v>
      </c>
      <c r="D321" s="91" t="n">
        <v>0</v>
      </c>
      <c r="E321" s="91" t="n">
        <v>0</v>
      </c>
      <c r="F321" s="53">
        <f>C321+D321-E321</f>
        <v/>
      </c>
      <c r="G321" s="54">
        <f>F321/1000</f>
        <v/>
      </c>
      <c r="H321" s="55">
        <f>IF(F321&lt;200,"⚠️ BAIXO",IF(F321&lt;500,"📦 OK","✅ CHEIO"))</f>
        <v/>
      </c>
    </row>
    <row r="322" ht="18" customHeight="1" s="109">
      <c r="A322" s="19" t="inlineStr">
        <is>
          <t>Voolt3D | PLA Neon | Laranja Neon</t>
        </is>
      </c>
      <c r="B322" s="46" t="inlineStr">
        <is>
          <t>PLA Neon</t>
        </is>
      </c>
      <c r="C322" s="91" t="n">
        <v>0</v>
      </c>
      <c r="D322" s="91" t="n">
        <v>0</v>
      </c>
      <c r="E322" s="91" t="n">
        <v>0</v>
      </c>
      <c r="F322" s="53">
        <f>C322+D322-E322</f>
        <v/>
      </c>
      <c r="G322" s="54">
        <f>F322/1000</f>
        <v/>
      </c>
      <c r="H322" s="55">
        <f>IF(F322&lt;200,"⚠️ BAIXO",IF(F322&lt;500,"📦 OK","✅ CHEIO"))</f>
        <v/>
      </c>
    </row>
    <row r="323" ht="18" customHeight="1" s="109">
      <c r="A323" s="15" t="inlineStr">
        <is>
          <t>Voolt3D | PLA Stone | Granito</t>
        </is>
      </c>
      <c r="B323" s="33" t="inlineStr">
        <is>
          <t>PLA Stone</t>
        </is>
      </c>
      <c r="C323" s="91" t="n">
        <v>0</v>
      </c>
      <c r="D323" s="91" t="n">
        <v>0</v>
      </c>
      <c r="E323" s="91" t="n">
        <v>0</v>
      </c>
      <c r="F323" s="53">
        <f>C323+D323-E323</f>
        <v/>
      </c>
      <c r="G323" s="54">
        <f>F323/1000</f>
        <v/>
      </c>
      <c r="H323" s="55">
        <f>IF(F323&lt;200,"⚠️ BAIXO",IF(F323&lt;500,"📦 OK","✅ CHEIO"))</f>
        <v/>
      </c>
    </row>
    <row r="324" ht="18" customHeight="1" s="109">
      <c r="A324" s="19" t="inlineStr">
        <is>
          <t>Voolt3D | PLA Stone | Mármore</t>
        </is>
      </c>
      <c r="B324" s="46" t="inlineStr">
        <is>
          <t>PLA Stone</t>
        </is>
      </c>
      <c r="C324" s="91" t="n">
        <v>0</v>
      </c>
      <c r="D324" s="91" t="n">
        <v>0</v>
      </c>
      <c r="E324" s="91" t="n">
        <v>0</v>
      </c>
      <c r="F324" s="53">
        <f>C324+D324-E324</f>
        <v/>
      </c>
      <c r="G324" s="54">
        <f>F324/1000</f>
        <v/>
      </c>
      <c r="H324" s="55">
        <f>IF(F324&lt;200,"⚠️ BAIXO",IF(F324&lt;500,"📦 OK","✅ CHEIO"))</f>
        <v/>
      </c>
    </row>
    <row r="325" ht="18" customHeight="1" s="109">
      <c r="A325" s="15" t="inlineStr">
        <is>
          <t>Voolt3D | PLA Stone | Areia</t>
        </is>
      </c>
      <c r="B325" s="33" t="inlineStr">
        <is>
          <t>PLA Stone</t>
        </is>
      </c>
      <c r="C325" s="91" t="n">
        <v>0</v>
      </c>
      <c r="D325" s="91" t="n">
        <v>0</v>
      </c>
      <c r="E325" s="91" t="n">
        <v>0</v>
      </c>
      <c r="F325" s="53">
        <f>C325+D325-E325</f>
        <v/>
      </c>
      <c r="G325" s="54">
        <f>F325/1000</f>
        <v/>
      </c>
      <c r="H325" s="55">
        <f>IF(F325&lt;200,"⚠️ BAIXO",IF(F325&lt;500,"📦 OK","✅ CHEIO"))</f>
        <v/>
      </c>
    </row>
    <row r="326" ht="18" customHeight="1" s="109">
      <c r="A326" s="19" t="inlineStr">
        <is>
          <t>Voolt3D | PLA Wood | Bambu</t>
        </is>
      </c>
      <c r="B326" s="46" t="inlineStr">
        <is>
          <t>PLA Wood</t>
        </is>
      </c>
      <c r="C326" s="91" t="n">
        <v>0</v>
      </c>
      <c r="D326" s="91" t="n">
        <v>0</v>
      </c>
      <c r="E326" s="91" t="n">
        <v>0</v>
      </c>
      <c r="F326" s="53">
        <f>C326+D326-E326</f>
        <v/>
      </c>
      <c r="G326" s="54">
        <f>F326/1000</f>
        <v/>
      </c>
      <c r="H326" s="55">
        <f>IF(F326&lt;200,"⚠️ BAIXO",IF(F326&lt;500,"📦 OK","✅ CHEIO"))</f>
        <v/>
      </c>
    </row>
    <row r="327" ht="18" customHeight="1" s="109">
      <c r="A327" s="15" t="inlineStr">
        <is>
          <t>Voolt3D | PLA Wood | Cedro</t>
        </is>
      </c>
      <c r="B327" s="33" t="inlineStr">
        <is>
          <t>PLA Wood</t>
        </is>
      </c>
      <c r="C327" s="91" t="n">
        <v>0</v>
      </c>
      <c r="D327" s="91" t="n">
        <v>0</v>
      </c>
      <c r="E327" s="91" t="n">
        <v>0</v>
      </c>
      <c r="F327" s="53">
        <f>C327+D327-E327</f>
        <v/>
      </c>
      <c r="G327" s="54">
        <f>F327/1000</f>
        <v/>
      </c>
      <c r="H327" s="55">
        <f>IF(F327&lt;200,"⚠️ BAIXO",IF(F327&lt;500,"📦 OK","✅ CHEIO"))</f>
        <v/>
      </c>
    </row>
    <row r="328" ht="18" customHeight="1" s="109">
      <c r="A328" s="19" t="inlineStr">
        <is>
          <t>Voolt3D | PLA Wood | Carvalho</t>
        </is>
      </c>
      <c r="B328" s="46" t="inlineStr">
        <is>
          <t>PLA Wood</t>
        </is>
      </c>
      <c r="C328" s="91" t="n">
        <v>0</v>
      </c>
      <c r="D328" s="91" t="n">
        <v>0</v>
      </c>
      <c r="E328" s="91" t="n">
        <v>0</v>
      </c>
      <c r="F328" s="53">
        <f>C328+D328-E328</f>
        <v/>
      </c>
      <c r="G328" s="54">
        <f>F328/1000</f>
        <v/>
      </c>
      <c r="H328" s="55">
        <f>IF(F328&lt;200,"⚠️ BAIXO",IF(F328&lt;500,"📦 OK","✅ CHEIO"))</f>
        <v/>
      </c>
    </row>
    <row r="329" ht="18" customHeight="1" s="109">
      <c r="A329" s="15" t="inlineStr">
        <is>
          <t>Voolt3D | PETG Sólido | Branco</t>
        </is>
      </c>
      <c r="B329" s="33" t="inlineStr">
        <is>
          <t>PETG Sólido</t>
        </is>
      </c>
      <c r="C329" s="91" t="n">
        <v>0</v>
      </c>
      <c r="D329" s="91" t="n">
        <v>0</v>
      </c>
      <c r="E329" s="91" t="n">
        <v>0</v>
      </c>
      <c r="F329" s="53">
        <f>C329+D329-E329</f>
        <v/>
      </c>
      <c r="G329" s="54">
        <f>F329/1000</f>
        <v/>
      </c>
      <c r="H329" s="55">
        <f>IF(F329&lt;200,"⚠️ BAIXO",IF(F329&lt;500,"📦 OK","✅ CHEIO"))</f>
        <v/>
      </c>
    </row>
    <row r="330" ht="18" customHeight="1" s="109">
      <c r="A330" s="19" t="inlineStr">
        <is>
          <t>Voolt3D | PETG Sólido | Preto</t>
        </is>
      </c>
      <c r="B330" s="46" t="inlineStr">
        <is>
          <t>PETG Sólido</t>
        </is>
      </c>
      <c r="C330" s="91" t="n">
        <v>0</v>
      </c>
      <c r="D330" s="91" t="n">
        <v>0</v>
      </c>
      <c r="E330" s="91" t="n">
        <v>0</v>
      </c>
      <c r="F330" s="53">
        <f>C330+D330-E330</f>
        <v/>
      </c>
      <c r="G330" s="54">
        <f>F330/1000</f>
        <v/>
      </c>
      <c r="H330" s="55">
        <f>IF(F330&lt;200,"⚠️ BAIXO",IF(F330&lt;500,"📦 OK","✅ CHEIO"))</f>
        <v/>
      </c>
    </row>
    <row r="331" ht="18" customHeight="1" s="109">
      <c r="A331" s="15" t="inlineStr">
        <is>
          <t>Voolt3D | PETG Sólido | Vermelho</t>
        </is>
      </c>
      <c r="B331" s="33" t="inlineStr">
        <is>
          <t>PETG Sólido</t>
        </is>
      </c>
      <c r="C331" s="91" t="n">
        <v>0</v>
      </c>
      <c r="D331" s="91" t="n">
        <v>0</v>
      </c>
      <c r="E331" s="91" t="n">
        <v>0</v>
      </c>
      <c r="F331" s="53">
        <f>C331+D331-E331</f>
        <v/>
      </c>
      <c r="G331" s="54">
        <f>F331/1000</f>
        <v/>
      </c>
      <c r="H331" s="55">
        <f>IF(F331&lt;200,"⚠️ BAIXO",IF(F331&lt;500,"📦 OK","✅ CHEIO"))</f>
        <v/>
      </c>
    </row>
    <row r="332" ht="18" customHeight="1" s="109">
      <c r="A332" s="19" t="inlineStr">
        <is>
          <t>Voolt3D | PETG Sólido | Azul</t>
        </is>
      </c>
      <c r="B332" s="46" t="inlineStr">
        <is>
          <t>PETG Sólido</t>
        </is>
      </c>
      <c r="C332" s="91" t="n">
        <v>0</v>
      </c>
      <c r="D332" s="91" t="n">
        <v>0</v>
      </c>
      <c r="E332" s="91" t="n">
        <v>0</v>
      </c>
      <c r="F332" s="53">
        <f>C332+D332-E332</f>
        <v/>
      </c>
      <c r="G332" s="54">
        <f>F332/1000</f>
        <v/>
      </c>
      <c r="H332" s="55">
        <f>IF(F332&lt;200,"⚠️ BAIXO",IF(F332&lt;500,"📦 OK","✅ CHEIO"))</f>
        <v/>
      </c>
    </row>
    <row r="333" ht="18" customHeight="1" s="109">
      <c r="A333" s="15" t="inlineStr">
        <is>
          <t>Voolt3D | PETG Sólido | Cinza</t>
        </is>
      </c>
      <c r="B333" s="33" t="inlineStr">
        <is>
          <t>PETG Sólido</t>
        </is>
      </c>
      <c r="C333" s="91" t="n">
        <v>0</v>
      </c>
      <c r="D333" s="91" t="n">
        <v>0</v>
      </c>
      <c r="E333" s="91" t="n">
        <v>0</v>
      </c>
      <c r="F333" s="53">
        <f>C333+D333-E333</f>
        <v/>
      </c>
      <c r="G333" s="54">
        <f>F333/1000</f>
        <v/>
      </c>
      <c r="H333" s="55">
        <f>IF(F333&lt;200,"⚠️ BAIXO",IF(F333&lt;500,"📦 OK","✅ CHEIO"))</f>
        <v/>
      </c>
    </row>
    <row r="334" ht="18" customHeight="1" s="109">
      <c r="A334" s="19" t="inlineStr">
        <is>
          <t>Voolt3D | PETG Sólido | Verde</t>
        </is>
      </c>
      <c r="B334" s="46" t="inlineStr">
        <is>
          <t>PETG Sólido</t>
        </is>
      </c>
      <c r="C334" s="91" t="n">
        <v>0</v>
      </c>
      <c r="D334" s="91" t="n">
        <v>0</v>
      </c>
      <c r="E334" s="91" t="n">
        <v>0</v>
      </c>
      <c r="F334" s="53">
        <f>C334+D334-E334</f>
        <v/>
      </c>
      <c r="G334" s="54">
        <f>F334/1000</f>
        <v/>
      </c>
      <c r="H334" s="55">
        <f>IF(F334&lt;200,"⚠️ BAIXO",IF(F334&lt;500,"📦 OK","✅ CHEIO"))</f>
        <v/>
      </c>
    </row>
    <row r="335" ht="18" customHeight="1" s="109">
      <c r="A335" s="15" t="inlineStr">
        <is>
          <t>Voolt3D | PETG Sólido | Amarelo</t>
        </is>
      </c>
      <c r="B335" s="33" t="inlineStr">
        <is>
          <t>PETG Sólido</t>
        </is>
      </c>
      <c r="C335" s="91" t="n">
        <v>0</v>
      </c>
      <c r="D335" s="91" t="n">
        <v>0</v>
      </c>
      <c r="E335" s="91" t="n">
        <v>0</v>
      </c>
      <c r="F335" s="53">
        <f>C335+D335-E335</f>
        <v/>
      </c>
      <c r="G335" s="54">
        <f>F335/1000</f>
        <v/>
      </c>
      <c r="H335" s="55">
        <f>IF(F335&lt;200,"⚠️ BAIXO",IF(F335&lt;500,"📦 OK","✅ CHEIO"))</f>
        <v/>
      </c>
    </row>
    <row r="336" ht="18" customHeight="1" s="109">
      <c r="A336" s="19" t="inlineStr">
        <is>
          <t>Voolt3D | PETG Sólido | Laranja</t>
        </is>
      </c>
      <c r="B336" s="46" t="inlineStr">
        <is>
          <t>PETG Sólido</t>
        </is>
      </c>
      <c r="C336" s="91" t="n">
        <v>0</v>
      </c>
      <c r="D336" s="91" t="n">
        <v>0</v>
      </c>
      <c r="E336" s="91" t="n">
        <v>0</v>
      </c>
      <c r="F336" s="53">
        <f>C336+D336-E336</f>
        <v/>
      </c>
      <c r="G336" s="54">
        <f>F336/1000</f>
        <v/>
      </c>
      <c r="H336" s="55">
        <f>IF(F336&lt;200,"⚠️ BAIXO",IF(F336&lt;500,"📦 OK","✅ CHEIO"))</f>
        <v/>
      </c>
    </row>
    <row r="337" ht="18" customHeight="1" s="109">
      <c r="A337" s="15" t="inlineStr">
        <is>
          <t>Voolt3D | PETG Translúcido | Natural Translúcido</t>
        </is>
      </c>
      <c r="B337" s="33" t="inlineStr">
        <is>
          <t>PETG Translúcido</t>
        </is>
      </c>
      <c r="C337" s="91" t="n">
        <v>0</v>
      </c>
      <c r="D337" s="91" t="n">
        <v>0</v>
      </c>
      <c r="E337" s="91" t="n">
        <v>0</v>
      </c>
      <c r="F337" s="53">
        <f>C337+D337-E337</f>
        <v/>
      </c>
      <c r="G337" s="54">
        <f>F337/1000</f>
        <v/>
      </c>
      <c r="H337" s="55">
        <f>IF(F337&lt;200,"⚠️ BAIXO",IF(F337&lt;500,"📦 OK","✅ CHEIO"))</f>
        <v/>
      </c>
    </row>
    <row r="338" ht="18" customHeight="1" s="109">
      <c r="A338" s="19" t="inlineStr">
        <is>
          <t>Voolt3D | PETG Translúcido | Azul Translúcido</t>
        </is>
      </c>
      <c r="B338" s="46" t="inlineStr">
        <is>
          <t>PETG Translúcido</t>
        </is>
      </c>
      <c r="C338" s="91" t="n">
        <v>0</v>
      </c>
      <c r="D338" s="91" t="n">
        <v>0</v>
      </c>
      <c r="E338" s="91" t="n">
        <v>0</v>
      </c>
      <c r="F338" s="53">
        <f>C338+D338-E338</f>
        <v/>
      </c>
      <c r="G338" s="54">
        <f>F338/1000</f>
        <v/>
      </c>
      <c r="H338" s="55">
        <f>IF(F338&lt;200,"⚠️ BAIXO",IF(F338&lt;500,"📦 OK","✅ CHEIO"))</f>
        <v/>
      </c>
    </row>
    <row r="339" ht="18" customHeight="1" s="109">
      <c r="A339" s="15" t="inlineStr">
        <is>
          <t>Voolt3D | PETG Translúcido | Verde Translúcido</t>
        </is>
      </c>
      <c r="B339" s="33" t="inlineStr">
        <is>
          <t>PETG Translúcido</t>
        </is>
      </c>
      <c r="C339" s="91" t="n">
        <v>0</v>
      </c>
      <c r="D339" s="91" t="n">
        <v>0</v>
      </c>
      <c r="E339" s="91" t="n">
        <v>0</v>
      </c>
      <c r="F339" s="53">
        <f>C339+D339-E339</f>
        <v/>
      </c>
      <c r="G339" s="54">
        <f>F339/1000</f>
        <v/>
      </c>
      <c r="H339" s="55">
        <f>IF(F339&lt;200,"⚠️ BAIXO",IF(F339&lt;500,"📦 OK","✅ CHEIO"))</f>
        <v/>
      </c>
    </row>
    <row r="340" ht="18" customHeight="1" s="109">
      <c r="A340" s="19" t="inlineStr">
        <is>
          <t>Voolt3D | PETG Translúcido | Vermelho Translúcido</t>
        </is>
      </c>
      <c r="B340" s="46" t="inlineStr">
        <is>
          <t>PETG Translúcido</t>
        </is>
      </c>
      <c r="C340" s="91" t="n">
        <v>0</v>
      </c>
      <c r="D340" s="91" t="n">
        <v>0</v>
      </c>
      <c r="E340" s="91" t="n">
        <v>0</v>
      </c>
      <c r="F340" s="53">
        <f>C340+D340-E340</f>
        <v/>
      </c>
      <c r="G340" s="54">
        <f>F340/1000</f>
        <v/>
      </c>
      <c r="H340" s="55">
        <f>IF(F340&lt;200,"⚠️ BAIXO",IF(F340&lt;500,"📦 OK","✅ CHEIO"))</f>
        <v/>
      </c>
    </row>
    <row r="341" ht="18" customHeight="1" s="109">
      <c r="A341" s="15" t="inlineStr">
        <is>
          <t>Voolt3D | PETG Translúcido | Ametista</t>
        </is>
      </c>
      <c r="B341" s="33" t="inlineStr">
        <is>
          <t>PETG Translúcido</t>
        </is>
      </c>
      <c r="C341" s="91" t="n">
        <v>0</v>
      </c>
      <c r="D341" s="91" t="n">
        <v>0</v>
      </c>
      <c r="E341" s="91" t="n">
        <v>0</v>
      </c>
      <c r="F341" s="53">
        <f>C341+D341-E341</f>
        <v/>
      </c>
      <c r="G341" s="54">
        <f>F341/1000</f>
        <v/>
      </c>
      <c r="H341" s="55">
        <f>IF(F341&lt;200,"⚠️ BAIXO",IF(F341&lt;500,"📦 OK","✅ CHEIO"))</f>
        <v/>
      </c>
    </row>
    <row r="342" ht="18" customHeight="1" s="109">
      <c r="A342" s="19" t="inlineStr">
        <is>
          <t>Voolt3D | PETG Neon | Verde Neon</t>
        </is>
      </c>
      <c r="B342" s="46" t="inlineStr">
        <is>
          <t>PETG Neon</t>
        </is>
      </c>
      <c r="C342" s="91" t="n">
        <v>0</v>
      </c>
      <c r="D342" s="91" t="n">
        <v>0</v>
      </c>
      <c r="E342" s="91" t="n">
        <v>0</v>
      </c>
      <c r="F342" s="53">
        <f>C342+D342-E342</f>
        <v/>
      </c>
      <c r="G342" s="54">
        <f>F342/1000</f>
        <v/>
      </c>
      <c r="H342" s="55">
        <f>IF(F342&lt;200,"⚠️ BAIXO",IF(F342&lt;500,"📦 OK","✅ CHEIO"))</f>
        <v/>
      </c>
    </row>
    <row r="343" ht="18" customHeight="1" s="109">
      <c r="A343" s="15" t="inlineStr">
        <is>
          <t>Voolt3D | PETG Neon | Amarelo Neon</t>
        </is>
      </c>
      <c r="B343" s="33" t="inlineStr">
        <is>
          <t>PETG Neon</t>
        </is>
      </c>
      <c r="C343" s="91" t="n">
        <v>0</v>
      </c>
      <c r="D343" s="91" t="n">
        <v>0</v>
      </c>
      <c r="E343" s="91" t="n">
        <v>0</v>
      </c>
      <c r="F343" s="53">
        <f>C343+D343-E343</f>
        <v/>
      </c>
      <c r="G343" s="54">
        <f>F343/1000</f>
        <v/>
      </c>
      <c r="H343" s="55">
        <f>IF(F343&lt;200,"⚠️ BAIXO",IF(F343&lt;500,"📦 OK","✅ CHEIO"))</f>
        <v/>
      </c>
    </row>
    <row r="344" ht="18" customHeight="1" s="109">
      <c r="A344" s="19" t="inlineStr">
        <is>
          <t>Voolt3D | PETG Neon | Rosa Neon</t>
        </is>
      </c>
      <c r="B344" s="46" t="inlineStr">
        <is>
          <t>PETG Neon</t>
        </is>
      </c>
      <c r="C344" s="91" t="n">
        <v>0</v>
      </c>
      <c r="D344" s="91" t="n">
        <v>0</v>
      </c>
      <c r="E344" s="91" t="n">
        <v>0</v>
      </c>
      <c r="F344" s="53">
        <f>C344+D344-E344</f>
        <v/>
      </c>
      <c r="G344" s="54">
        <f>F344/1000</f>
        <v/>
      </c>
      <c r="H344" s="55">
        <f>IF(F344&lt;200,"⚠️ BAIXO",IF(F344&lt;500,"📦 OK","✅ CHEIO"))</f>
        <v/>
      </c>
    </row>
    <row r="345" ht="18" customHeight="1" s="109">
      <c r="A345" s="15" t="inlineStr">
        <is>
          <t>Voolt3D | ABS Sólido | Branco</t>
        </is>
      </c>
      <c r="B345" s="33" t="inlineStr">
        <is>
          <t>ABS Sólido</t>
        </is>
      </c>
      <c r="C345" s="91" t="n">
        <v>0</v>
      </c>
      <c r="D345" s="91" t="n">
        <v>0</v>
      </c>
      <c r="E345" s="91" t="n">
        <v>0</v>
      </c>
      <c r="F345" s="53">
        <f>C345+D345-E345</f>
        <v/>
      </c>
      <c r="G345" s="54">
        <f>F345/1000</f>
        <v/>
      </c>
      <c r="H345" s="55">
        <f>IF(F345&lt;200,"⚠️ BAIXO",IF(F345&lt;500,"📦 OK","✅ CHEIO"))</f>
        <v/>
      </c>
    </row>
    <row r="346" ht="18" customHeight="1" s="109">
      <c r="A346" s="19" t="inlineStr">
        <is>
          <t>Voolt3D | ABS Sólido | Preto</t>
        </is>
      </c>
      <c r="B346" s="46" t="inlineStr">
        <is>
          <t>ABS Sólido</t>
        </is>
      </c>
      <c r="C346" s="91" t="n">
        <v>0</v>
      </c>
      <c r="D346" s="91" t="n">
        <v>0</v>
      </c>
      <c r="E346" s="91" t="n">
        <v>0</v>
      </c>
      <c r="F346" s="53">
        <f>C346+D346-E346</f>
        <v/>
      </c>
      <c r="G346" s="54">
        <f>F346/1000</f>
        <v/>
      </c>
      <c r="H346" s="55">
        <f>IF(F346&lt;200,"⚠️ BAIXO",IF(F346&lt;500,"📦 OK","✅ CHEIO"))</f>
        <v/>
      </c>
    </row>
    <row r="347" ht="18" customHeight="1" s="109">
      <c r="A347" s="15" t="inlineStr">
        <is>
          <t>Voolt3D | ABS Sólido | Cinza</t>
        </is>
      </c>
      <c r="B347" s="33" t="inlineStr">
        <is>
          <t>ABS Sólido</t>
        </is>
      </c>
      <c r="C347" s="91" t="n">
        <v>0</v>
      </c>
      <c r="D347" s="91" t="n">
        <v>0</v>
      </c>
      <c r="E347" s="91" t="n">
        <v>0</v>
      </c>
      <c r="F347" s="53">
        <f>C347+D347-E347</f>
        <v/>
      </c>
      <c r="G347" s="54">
        <f>F347/1000</f>
        <v/>
      </c>
      <c r="H347" s="55">
        <f>IF(F347&lt;200,"⚠️ BAIXO",IF(F347&lt;500,"📦 OK","✅ CHEIO"))</f>
        <v/>
      </c>
    </row>
    <row r="348" ht="18" customHeight="1" s="109">
      <c r="A348" s="19" t="inlineStr">
        <is>
          <t>Voolt3D | ABS Sólido | Vermelho</t>
        </is>
      </c>
      <c r="B348" s="46" t="inlineStr">
        <is>
          <t>ABS Sólido</t>
        </is>
      </c>
      <c r="C348" s="91" t="n">
        <v>0</v>
      </c>
      <c r="D348" s="91" t="n">
        <v>0</v>
      </c>
      <c r="E348" s="91" t="n">
        <v>0</v>
      </c>
      <c r="F348" s="53">
        <f>C348+D348-E348</f>
        <v/>
      </c>
      <c r="G348" s="54">
        <f>F348/1000</f>
        <v/>
      </c>
      <c r="H348" s="55">
        <f>IF(F348&lt;200,"⚠️ BAIXO",IF(F348&lt;500,"📦 OK","✅ CHEIO"))</f>
        <v/>
      </c>
    </row>
    <row r="349" ht="18" customHeight="1" s="109">
      <c r="A349" s="15" t="inlineStr">
        <is>
          <t>Voolt3D | ABS Sólido | Azul</t>
        </is>
      </c>
      <c r="B349" s="33" t="inlineStr">
        <is>
          <t>ABS Sólido</t>
        </is>
      </c>
      <c r="C349" s="91" t="n">
        <v>0</v>
      </c>
      <c r="D349" s="91" t="n">
        <v>0</v>
      </c>
      <c r="E349" s="91" t="n">
        <v>0</v>
      </c>
      <c r="F349" s="53">
        <f>C349+D349-E349</f>
        <v/>
      </c>
      <c r="G349" s="54">
        <f>F349/1000</f>
        <v/>
      </c>
      <c r="H349" s="55">
        <f>IF(F349&lt;200,"⚠️ BAIXO",IF(F349&lt;500,"📦 OK","✅ CHEIO"))</f>
        <v/>
      </c>
    </row>
    <row r="350" ht="18" customHeight="1" s="109">
      <c r="A350" s="19" t="inlineStr">
        <is>
          <t>Voolt3D | ABS Sólido | Amarelo</t>
        </is>
      </c>
      <c r="B350" s="46" t="inlineStr">
        <is>
          <t>ABS Sólido</t>
        </is>
      </c>
      <c r="C350" s="91" t="n">
        <v>0</v>
      </c>
      <c r="D350" s="91" t="n">
        <v>0</v>
      </c>
      <c r="E350" s="91" t="n">
        <v>0</v>
      </c>
      <c r="F350" s="53">
        <f>C350+D350-E350</f>
        <v/>
      </c>
      <c r="G350" s="54">
        <f>F350/1000</f>
        <v/>
      </c>
      <c r="H350" s="55">
        <f>IF(F350&lt;200,"⚠️ BAIXO",IF(F350&lt;500,"📦 OK","✅ CHEIO"))</f>
        <v/>
      </c>
    </row>
    <row r="351" ht="18" customHeight="1" s="109">
      <c r="A351" s="15" t="inlineStr">
        <is>
          <t>Voolt3D | ABS Sólido | Verde</t>
        </is>
      </c>
      <c r="B351" s="33" t="inlineStr">
        <is>
          <t>ABS Sólido</t>
        </is>
      </c>
      <c r="C351" s="91" t="n">
        <v>0</v>
      </c>
      <c r="D351" s="91" t="n">
        <v>0</v>
      </c>
      <c r="E351" s="91" t="n">
        <v>0</v>
      </c>
      <c r="F351" s="53">
        <f>C351+D351-E351</f>
        <v/>
      </c>
      <c r="G351" s="54">
        <f>F351/1000</f>
        <v/>
      </c>
      <c r="H351" s="55">
        <f>IF(F351&lt;200,"⚠️ BAIXO",IF(F351&lt;500,"📦 OK","✅ CHEIO"))</f>
        <v/>
      </c>
    </row>
    <row r="352" ht="18" customHeight="1" s="109">
      <c r="A352" s="19" t="inlineStr">
        <is>
          <t>Voolt3D | ABS Metalizado | Dourado</t>
        </is>
      </c>
      <c r="B352" s="46" t="inlineStr">
        <is>
          <t>ABS Metalizado</t>
        </is>
      </c>
      <c r="C352" s="91" t="n">
        <v>0</v>
      </c>
      <c r="D352" s="91" t="n">
        <v>0</v>
      </c>
      <c r="E352" s="91" t="n">
        <v>0</v>
      </c>
      <c r="F352" s="53">
        <f>C352+D352-E352</f>
        <v/>
      </c>
      <c r="G352" s="54">
        <f>F352/1000</f>
        <v/>
      </c>
      <c r="H352" s="55">
        <f>IF(F352&lt;200,"⚠️ BAIXO",IF(F352&lt;500,"📦 OK","✅ CHEIO"))</f>
        <v/>
      </c>
    </row>
    <row r="353" ht="18" customHeight="1" s="109">
      <c r="A353" s="15" t="inlineStr">
        <is>
          <t>Voolt3D | ABS Metalizado | Prata</t>
        </is>
      </c>
      <c r="B353" s="33" t="inlineStr">
        <is>
          <t>ABS Metalizado</t>
        </is>
      </c>
      <c r="C353" s="91" t="n">
        <v>0</v>
      </c>
      <c r="D353" s="91" t="n">
        <v>0</v>
      </c>
      <c r="E353" s="91" t="n">
        <v>0</v>
      </c>
      <c r="F353" s="53">
        <f>C353+D353-E353</f>
        <v/>
      </c>
      <c r="G353" s="54">
        <f>F353/1000</f>
        <v/>
      </c>
      <c r="H353" s="55">
        <f>IF(F353&lt;200,"⚠️ BAIXO",IF(F353&lt;500,"📦 OK","✅ CHEIO"))</f>
        <v/>
      </c>
    </row>
    <row r="354" ht="18" customHeight="1" s="109">
      <c r="A354" s="19" t="inlineStr">
        <is>
          <t>Voolt3D | ABS Metalizado | Cobre</t>
        </is>
      </c>
      <c r="B354" s="46" t="inlineStr">
        <is>
          <t>ABS Metalizado</t>
        </is>
      </c>
      <c r="C354" s="91" t="n">
        <v>0</v>
      </c>
      <c r="D354" s="91" t="n">
        <v>0</v>
      </c>
      <c r="E354" s="91" t="n">
        <v>0</v>
      </c>
      <c r="F354" s="53">
        <f>C354+D354-E354</f>
        <v/>
      </c>
      <c r="G354" s="54">
        <f>F354/1000</f>
        <v/>
      </c>
      <c r="H354" s="55">
        <f>IF(F354&lt;200,"⚠️ BAIXO",IF(F354&lt;500,"📦 OK","✅ CHEIO"))</f>
        <v/>
      </c>
    </row>
    <row r="355" ht="18" customHeight="1" s="109">
      <c r="A355" s="15" t="inlineStr">
        <is>
          <t>Voolt3D | ABS Stone | Granito</t>
        </is>
      </c>
      <c r="B355" s="33" t="inlineStr">
        <is>
          <t>ABS Stone</t>
        </is>
      </c>
      <c r="C355" s="91" t="n">
        <v>0</v>
      </c>
      <c r="D355" s="91" t="n">
        <v>0</v>
      </c>
      <c r="E355" s="91" t="n">
        <v>0</v>
      </c>
      <c r="F355" s="53">
        <f>C355+D355-E355</f>
        <v/>
      </c>
      <c r="G355" s="54">
        <f>F355/1000</f>
        <v/>
      </c>
      <c r="H355" s="55">
        <f>IF(F355&lt;200,"⚠️ BAIXO",IF(F355&lt;500,"📦 OK","✅ CHEIO"))</f>
        <v/>
      </c>
    </row>
    <row r="356" ht="18" customHeight="1" s="109">
      <c r="A356" s="19" t="inlineStr">
        <is>
          <t>Voolt3D | ABS Stone | Mármore</t>
        </is>
      </c>
      <c r="B356" s="46" t="inlineStr">
        <is>
          <t>ABS Stone</t>
        </is>
      </c>
      <c r="C356" s="91" t="n">
        <v>0</v>
      </c>
      <c r="D356" s="91" t="n">
        <v>0</v>
      </c>
      <c r="E356" s="91" t="n">
        <v>0</v>
      </c>
      <c r="F356" s="53">
        <f>C356+D356-E356</f>
        <v/>
      </c>
      <c r="G356" s="54">
        <f>F356/1000</f>
        <v/>
      </c>
      <c r="H356" s="55">
        <f>IF(F356&lt;200,"⚠️ BAIXO",IF(F356&lt;500,"📦 OK","✅ CHEIO"))</f>
        <v/>
      </c>
    </row>
    <row r="357" ht="18" customHeight="1" s="109">
      <c r="A357" s="15" t="inlineStr">
        <is>
          <t>Voolt3D | TPU Flexível | Preto</t>
        </is>
      </c>
      <c r="B357" s="33" t="inlineStr">
        <is>
          <t>TPU Flexível</t>
        </is>
      </c>
      <c r="C357" s="91" t="n">
        <v>0</v>
      </c>
      <c r="D357" s="91" t="n">
        <v>0</v>
      </c>
      <c r="E357" s="91" t="n">
        <v>0</v>
      </c>
      <c r="F357" s="53">
        <f>C357+D357-E357</f>
        <v/>
      </c>
      <c r="G357" s="54">
        <f>F357/1000</f>
        <v/>
      </c>
      <c r="H357" s="55">
        <f>IF(F357&lt;200,"⚠️ BAIXO",IF(F357&lt;500,"📦 OK","✅ CHEIO"))</f>
        <v/>
      </c>
    </row>
    <row r="358" ht="18" customHeight="1" s="109">
      <c r="A358" s="19" t="inlineStr">
        <is>
          <t>Voolt3D | TPU Flexível | Branco</t>
        </is>
      </c>
      <c r="B358" s="46" t="inlineStr">
        <is>
          <t>TPU Flexível</t>
        </is>
      </c>
      <c r="C358" s="91" t="n">
        <v>0</v>
      </c>
      <c r="D358" s="91" t="n">
        <v>0</v>
      </c>
      <c r="E358" s="91" t="n">
        <v>0</v>
      </c>
      <c r="F358" s="53">
        <f>C358+D358-E358</f>
        <v/>
      </c>
      <c r="G358" s="54">
        <f>F358/1000</f>
        <v/>
      </c>
      <c r="H358" s="55">
        <f>IF(F358&lt;200,"⚠️ BAIXO",IF(F358&lt;500,"📦 OK","✅ CHEIO"))</f>
        <v/>
      </c>
    </row>
    <row r="359" ht="18" customHeight="1" s="109">
      <c r="A359" s="15" t="inlineStr">
        <is>
          <t>Voolt3D | TPU Flexível | Transparente</t>
        </is>
      </c>
      <c r="B359" s="33" t="inlineStr">
        <is>
          <t>TPU Flexível</t>
        </is>
      </c>
      <c r="C359" s="91" t="n">
        <v>0</v>
      </c>
      <c r="D359" s="91" t="n">
        <v>0</v>
      </c>
      <c r="E359" s="91" t="n">
        <v>0</v>
      </c>
      <c r="F359" s="53">
        <f>C359+D359-E359</f>
        <v/>
      </c>
      <c r="G359" s="54">
        <f>F359/1000</f>
        <v/>
      </c>
      <c r="H359" s="55">
        <f>IF(F359&lt;200,"⚠️ BAIXO",IF(F359&lt;500,"📦 OK","✅ CHEIO"))</f>
        <v/>
      </c>
    </row>
    <row r="360" ht="18" customHeight="1" s="109">
      <c r="A360" s="19" t="inlineStr">
        <is>
          <t>Voolt3D | TPU Flexível | Azul</t>
        </is>
      </c>
      <c r="B360" s="46" t="inlineStr">
        <is>
          <t>TPU Flexível</t>
        </is>
      </c>
      <c r="C360" s="91" t="n">
        <v>0</v>
      </c>
      <c r="D360" s="91" t="n">
        <v>0</v>
      </c>
      <c r="E360" s="91" t="n">
        <v>0</v>
      </c>
      <c r="F360" s="53">
        <f>C360+D360-E360</f>
        <v/>
      </c>
      <c r="G360" s="54">
        <f>F360/1000</f>
        <v/>
      </c>
      <c r="H360" s="55">
        <f>IF(F360&lt;200,"⚠️ BAIXO",IF(F360&lt;500,"📦 OK","✅ CHEIO"))</f>
        <v/>
      </c>
    </row>
    <row r="361" ht="18" customHeight="1" s="109">
      <c r="A361" s="15" t="inlineStr">
        <is>
          <t>Voolt3D | TPU Flexível | Vermelho</t>
        </is>
      </c>
      <c r="B361" s="33" t="inlineStr">
        <is>
          <t>TPU Flexível</t>
        </is>
      </c>
      <c r="C361" s="91" t="n">
        <v>0</v>
      </c>
      <c r="D361" s="91" t="n">
        <v>0</v>
      </c>
      <c r="E361" s="91" t="n">
        <v>0</v>
      </c>
      <c r="F361" s="53">
        <f>C361+D361-E361</f>
        <v/>
      </c>
      <c r="G361" s="54">
        <f>F361/1000</f>
        <v/>
      </c>
      <c r="H361" s="55">
        <f>IF(F361&lt;200,"⚠️ BAIXO",IF(F361&lt;500,"📦 OK","✅ CHEIO"))</f>
        <v/>
      </c>
    </row>
    <row r="362" ht="18" customHeight="1" s="109">
      <c r="A362" s="19" t="inlineStr">
        <is>
          <t>Voolt3D | TPU Flexível | Verde</t>
        </is>
      </c>
      <c r="B362" s="46" t="inlineStr">
        <is>
          <t>TPU Flexível</t>
        </is>
      </c>
      <c r="C362" s="91" t="n">
        <v>0</v>
      </c>
      <c r="D362" s="91" t="n">
        <v>0</v>
      </c>
      <c r="E362" s="91" t="n">
        <v>0</v>
      </c>
      <c r="F362" s="53">
        <f>C362+D362-E362</f>
        <v/>
      </c>
      <c r="G362" s="54">
        <f>F362/1000</f>
        <v/>
      </c>
      <c r="H362" s="55">
        <f>IF(F362&lt;200,"⚠️ BAIXO",IF(F362&lt;500,"📦 OK","✅ CHEIO"))</f>
        <v/>
      </c>
    </row>
    <row r="363" ht="18" customHeight="1" s="109">
      <c r="A363" s="15" t="inlineStr">
        <is>
          <t>Voolt3D | Poliamida 6 / Nylon | Natural</t>
        </is>
      </c>
      <c r="B363" s="33" t="inlineStr">
        <is>
          <t>Poliamida 6 / Nylon</t>
        </is>
      </c>
      <c r="C363" s="91" t="n">
        <v>0</v>
      </c>
      <c r="D363" s="91" t="n">
        <v>0</v>
      </c>
      <c r="E363" s="91" t="n">
        <v>0</v>
      </c>
      <c r="F363" s="53">
        <f>C363+D363-E363</f>
        <v/>
      </c>
      <c r="G363" s="54">
        <f>F363/1000</f>
        <v/>
      </c>
      <c r="H363" s="55">
        <f>IF(F363&lt;200,"⚠️ BAIXO",IF(F363&lt;500,"📦 OK","✅ CHEIO"))</f>
        <v/>
      </c>
    </row>
    <row r="364" ht="18" customHeight="1" s="109">
      <c r="A364" s="19" t="inlineStr">
        <is>
          <t>Voolt3D | Poliamida 6 / Nylon | Preto</t>
        </is>
      </c>
      <c r="B364" s="46" t="inlineStr">
        <is>
          <t>Poliamida 6 / Nylon</t>
        </is>
      </c>
      <c r="C364" s="91" t="n">
        <v>0</v>
      </c>
      <c r="D364" s="91" t="n">
        <v>0</v>
      </c>
      <c r="E364" s="91" t="n">
        <v>0</v>
      </c>
      <c r="F364" s="53">
        <f>C364+D364-E364</f>
        <v/>
      </c>
      <c r="G364" s="54">
        <f>F364/1000</f>
        <v/>
      </c>
      <c r="H364" s="55">
        <f>IF(F364&lt;200,"⚠️ BAIXO",IF(F364&lt;500,"📦 OK","✅ CHEIO"))</f>
        <v/>
      </c>
    </row>
    <row r="365" ht="18" customHeight="1" s="109">
      <c r="A365" s="15" t="inlineStr">
        <is>
          <t>Voolt3D | Poliamida 6 + Fibra de Carbono | Preto</t>
        </is>
      </c>
      <c r="B365" s="33" t="inlineStr">
        <is>
          <t>Poliamida 6 + Fibra de Carbono</t>
        </is>
      </c>
      <c r="C365" s="91" t="n">
        <v>0</v>
      </c>
      <c r="D365" s="91" t="n">
        <v>0</v>
      </c>
      <c r="E365" s="91" t="n">
        <v>0</v>
      </c>
      <c r="F365" s="53">
        <f>C365+D365-E365</f>
        <v/>
      </c>
      <c r="G365" s="54">
        <f>F365/1000</f>
        <v/>
      </c>
      <c r="H365" s="55">
        <f>IF(F365&lt;200,"⚠️ BAIXO",IF(F365&lt;500,"📦 OK","✅ CHEIO"))</f>
        <v/>
      </c>
    </row>
    <row r="366" ht="18" customHeight="1" s="109">
      <c r="A366" s="19" t="inlineStr">
        <is>
          <t>Voolt3D | Fibra de Carbono | Preto</t>
        </is>
      </c>
      <c r="B366" s="46" t="inlineStr">
        <is>
          <t>Fibra de Carbono</t>
        </is>
      </c>
      <c r="C366" s="91" t="n">
        <v>0</v>
      </c>
      <c r="D366" s="91" t="n">
        <v>0</v>
      </c>
      <c r="E366" s="91" t="n">
        <v>0</v>
      </c>
      <c r="F366" s="53">
        <f>C366+D366-E366</f>
        <v/>
      </c>
      <c r="G366" s="54">
        <f>F366/1000</f>
        <v/>
      </c>
      <c r="H366" s="55">
        <f>IF(F366&lt;200,"⚠️ BAIXO",IF(F366&lt;500,"📦 OK","✅ CHEIO"))</f>
        <v/>
      </c>
    </row>
    <row r="367" ht="18" customHeight="1" s="109">
      <c r="A367" s="15" t="inlineStr">
        <is>
          <t>Voolt3D | Grafeno | Preto</t>
        </is>
      </c>
      <c r="B367" s="33" t="inlineStr">
        <is>
          <t>Grafeno</t>
        </is>
      </c>
      <c r="C367" s="91" t="n">
        <v>0</v>
      </c>
      <c r="D367" s="91" t="n">
        <v>0</v>
      </c>
      <c r="E367" s="91" t="n">
        <v>0</v>
      </c>
      <c r="F367" s="53">
        <f>C367+D367-E367</f>
        <v/>
      </c>
      <c r="G367" s="54">
        <f>F367/1000</f>
        <v/>
      </c>
      <c r="H367" s="55">
        <f>IF(F367&lt;200,"⚠️ BAIXO",IF(F367&lt;500,"📦 OK","✅ CHEIO"))</f>
        <v/>
      </c>
    </row>
    <row r="368" ht="18" customHeight="1" s="109">
      <c r="A368" s="19" t="inlineStr">
        <is>
          <t>Voolt3D | Grafeno Condutivo | Preto</t>
        </is>
      </c>
      <c r="B368" s="46" t="inlineStr">
        <is>
          <t>Grafeno Condutivo</t>
        </is>
      </c>
      <c r="C368" s="91" t="n">
        <v>0</v>
      </c>
      <c r="D368" s="91" t="n">
        <v>0</v>
      </c>
      <c r="E368" s="91" t="n">
        <v>0</v>
      </c>
      <c r="F368" s="53">
        <f>C368+D368-E368</f>
        <v/>
      </c>
      <c r="G368" s="54">
        <f>F368/1000</f>
        <v/>
      </c>
      <c r="H368" s="55">
        <f>IF(F368&lt;200,"⚠️ BAIXO",IF(F368&lt;500,"📦 OK","✅ CHEIO"))</f>
        <v/>
      </c>
    </row>
    <row r="369" ht="18" customHeight="1" s="109">
      <c r="A369" s="15" t="inlineStr">
        <is>
          <t>Voolt3D | PCTG | Natural</t>
        </is>
      </c>
      <c r="B369" s="33" t="inlineStr">
        <is>
          <t>PCTG</t>
        </is>
      </c>
      <c r="C369" s="91" t="n">
        <v>0</v>
      </c>
      <c r="D369" s="91" t="n">
        <v>0</v>
      </c>
      <c r="E369" s="91" t="n">
        <v>0</v>
      </c>
      <c r="F369" s="53">
        <f>C369+D369-E369</f>
        <v/>
      </c>
      <c r="G369" s="54">
        <f>F369/1000</f>
        <v/>
      </c>
      <c r="H369" s="55">
        <f>IF(F369&lt;200,"⚠️ BAIXO",IF(F369&lt;500,"📦 OK","✅ CHEIO"))</f>
        <v/>
      </c>
    </row>
    <row r="370" ht="18" customHeight="1" s="109">
      <c r="A370" s="19" t="inlineStr">
        <is>
          <t>Voolt3D | PCTG | Preto</t>
        </is>
      </c>
      <c r="B370" s="46" t="inlineStr">
        <is>
          <t>PCTG</t>
        </is>
      </c>
      <c r="C370" s="91" t="n">
        <v>0</v>
      </c>
      <c r="D370" s="91" t="n">
        <v>0</v>
      </c>
      <c r="E370" s="91" t="n">
        <v>0</v>
      </c>
      <c r="F370" s="53">
        <f>C370+D370-E370</f>
        <v/>
      </c>
      <c r="G370" s="54">
        <f>F370/1000</f>
        <v/>
      </c>
      <c r="H370" s="55">
        <f>IF(F370&lt;200,"⚠️ BAIXO",IF(F370&lt;500,"📦 OK","✅ CHEIO"))</f>
        <v/>
      </c>
    </row>
    <row r="371" ht="18" customHeight="1" s="109">
      <c r="A371" s="15" t="inlineStr">
        <is>
          <t>Voolt3D | PCTG | Branco</t>
        </is>
      </c>
      <c r="B371" s="33" t="inlineStr">
        <is>
          <t>PCTG</t>
        </is>
      </c>
      <c r="C371" s="91" t="n">
        <v>0</v>
      </c>
      <c r="D371" s="91" t="n">
        <v>0</v>
      </c>
      <c r="E371" s="91" t="n">
        <v>0</v>
      </c>
      <c r="F371" s="53">
        <f>C371+D371-E371</f>
        <v/>
      </c>
      <c r="G371" s="54">
        <f>F371/1000</f>
        <v/>
      </c>
      <c r="H371" s="55">
        <f>IF(F371&lt;200,"⚠️ BAIXO",IF(F371&lt;500,"📦 OK","✅ CHEIO"))</f>
        <v/>
      </c>
    </row>
    <row r="372" ht="18" customHeight="1" s="109">
      <c r="A372" s="19" t="inlineStr">
        <is>
          <t>Soleyin | Ultra PLA | Preto</t>
        </is>
      </c>
      <c r="B372" s="46" t="inlineStr">
        <is>
          <t>Ultra PLA</t>
        </is>
      </c>
      <c r="C372" s="91" t="n">
        <v>0</v>
      </c>
      <c r="D372" s="91" t="n">
        <v>0</v>
      </c>
      <c r="E372" s="91" t="n">
        <v>0</v>
      </c>
      <c r="F372" s="53">
        <f>C372+D372-E372</f>
        <v/>
      </c>
      <c r="G372" s="54">
        <f>F372/1000</f>
        <v/>
      </c>
      <c r="H372" s="55">
        <f>IF(F372&lt;200,"⚠️ BAIXO",IF(F372&lt;500,"📦 OK","✅ CHEIO"))</f>
        <v/>
      </c>
    </row>
    <row r="373" ht="18" customHeight="1" s="109">
      <c r="A373" s="15" t="inlineStr">
        <is>
          <t>Soleyin | Ultra PLA | Branco</t>
        </is>
      </c>
      <c r="B373" s="33" t="inlineStr">
        <is>
          <t>Ultra PLA</t>
        </is>
      </c>
      <c r="C373" s="91" t="n">
        <v>0</v>
      </c>
      <c r="D373" s="91" t="n">
        <v>0</v>
      </c>
      <c r="E373" s="91" t="n">
        <v>0</v>
      </c>
      <c r="F373" s="53">
        <f>C373+D373-E373</f>
        <v/>
      </c>
      <c r="G373" s="54">
        <f>F373/1000</f>
        <v/>
      </c>
      <c r="H373" s="55">
        <f>IF(F373&lt;200,"⚠️ BAIXO",IF(F373&lt;500,"📦 OK","✅ CHEIO"))</f>
        <v/>
      </c>
    </row>
    <row r="374" ht="18" customHeight="1" s="109">
      <c r="A374" s="19" t="inlineStr">
        <is>
          <t>Soleyin | Ultra PLA | Cinza</t>
        </is>
      </c>
      <c r="B374" s="46" t="inlineStr">
        <is>
          <t>Ultra PLA</t>
        </is>
      </c>
      <c r="C374" s="91" t="n">
        <v>0</v>
      </c>
      <c r="D374" s="91" t="n">
        <v>0</v>
      </c>
      <c r="E374" s="91" t="n">
        <v>0</v>
      </c>
      <c r="F374" s="53">
        <f>C374+D374-E374</f>
        <v/>
      </c>
      <c r="G374" s="54">
        <f>F374/1000</f>
        <v/>
      </c>
      <c r="H374" s="55">
        <f>IF(F374&lt;200,"⚠️ BAIXO",IF(F374&lt;500,"📦 OK","✅ CHEIO"))</f>
        <v/>
      </c>
    </row>
    <row r="375" ht="18" customHeight="1" s="109">
      <c r="A375" s="15" t="inlineStr">
        <is>
          <t>Soleyin | Ultra PLA | Rosa Mosqueta</t>
        </is>
      </c>
      <c r="B375" s="33" t="inlineStr">
        <is>
          <t>Ultra PLA</t>
        </is>
      </c>
      <c r="C375" s="91" t="n">
        <v>0</v>
      </c>
      <c r="D375" s="91" t="n">
        <v>0</v>
      </c>
      <c r="E375" s="91" t="n">
        <v>0</v>
      </c>
      <c r="F375" s="53">
        <f>C375+D375-E375</f>
        <v/>
      </c>
      <c r="G375" s="54">
        <f>F375/1000</f>
        <v/>
      </c>
      <c r="H375" s="55">
        <f>IF(F375&lt;200,"⚠️ BAIXO",IF(F375&lt;500,"📦 OK","✅ CHEIO"))</f>
        <v/>
      </c>
    </row>
    <row r="376" ht="18" customHeight="1" s="109">
      <c r="A376" s="19" t="inlineStr">
        <is>
          <t>Soleyin | Ultra PLA | Azul Oceano</t>
        </is>
      </c>
      <c r="B376" s="46" t="inlineStr">
        <is>
          <t>Ultra PLA</t>
        </is>
      </c>
      <c r="C376" s="91" t="n">
        <v>0</v>
      </c>
      <c r="D376" s="91" t="n">
        <v>0</v>
      </c>
      <c r="E376" s="91" t="n">
        <v>0</v>
      </c>
      <c r="F376" s="53">
        <f>C376+D376-E376</f>
        <v/>
      </c>
      <c r="G376" s="54">
        <f>F376/1000</f>
        <v/>
      </c>
      <c r="H376" s="55">
        <f>IF(F376&lt;200,"⚠️ BAIXO",IF(F376&lt;500,"📦 OK","✅ CHEIO"))</f>
        <v/>
      </c>
    </row>
    <row r="377" ht="18" customHeight="1" s="109">
      <c r="A377" s="15" t="inlineStr">
        <is>
          <t>Soleyin | Ultra PLA | Roxo Amêndoa</t>
        </is>
      </c>
      <c r="B377" s="33" t="inlineStr">
        <is>
          <t>Ultra PLA</t>
        </is>
      </c>
      <c r="C377" s="91" t="n">
        <v>0</v>
      </c>
      <c r="D377" s="91" t="n">
        <v>0</v>
      </c>
      <c r="E377" s="91" t="n">
        <v>0</v>
      </c>
      <c r="F377" s="53">
        <f>C377+D377-E377</f>
        <v/>
      </c>
      <c r="G377" s="54">
        <f>F377/1000</f>
        <v/>
      </c>
      <c r="H377" s="55">
        <f>IF(F377&lt;200,"⚠️ BAIXO",IF(F377&lt;500,"📦 OK","✅ CHEIO"))</f>
        <v/>
      </c>
    </row>
    <row r="378" ht="18" customHeight="1" s="109">
      <c r="A378" s="19" t="inlineStr">
        <is>
          <t>Soleyin | Ultra PLA | Morango Leite</t>
        </is>
      </c>
      <c r="B378" s="46" t="inlineStr">
        <is>
          <t>Ultra PLA</t>
        </is>
      </c>
      <c r="C378" s="91" t="n">
        <v>0</v>
      </c>
      <c r="D378" s="91" t="n">
        <v>0</v>
      </c>
      <c r="E378" s="91" t="n">
        <v>0</v>
      </c>
      <c r="F378" s="53">
        <f>C378+D378-E378</f>
        <v/>
      </c>
      <c r="G378" s="54">
        <f>F378/1000</f>
        <v/>
      </c>
      <c r="H378" s="55">
        <f>IF(F378&lt;200,"⚠️ BAIXO",IF(F378&lt;500,"📦 OK","✅ CHEIO"))</f>
        <v/>
      </c>
    </row>
    <row r="379" ht="18" customHeight="1" s="109">
      <c r="A379" s="15" t="inlineStr">
        <is>
          <t>Soleyin | Ultra PLA | Amarelo Abacaxi</t>
        </is>
      </c>
      <c r="B379" s="33" t="inlineStr">
        <is>
          <t>Ultra PLA</t>
        </is>
      </c>
      <c r="C379" s="91" t="n">
        <v>0</v>
      </c>
      <c r="D379" s="91" t="n">
        <v>0</v>
      </c>
      <c r="E379" s="91" t="n">
        <v>0</v>
      </c>
      <c r="F379" s="53">
        <f>C379+D379-E379</f>
        <v/>
      </c>
      <c r="G379" s="54">
        <f>F379/1000</f>
        <v/>
      </c>
      <c r="H379" s="55">
        <f>IF(F379&lt;200,"⚠️ BAIXO",IF(F379&lt;500,"📦 OK","✅ CHEIO"))</f>
        <v/>
      </c>
    </row>
    <row r="380" ht="18" customHeight="1" s="109">
      <c r="A380" s="19" t="inlineStr">
        <is>
          <t>Soleyin | Ultra PLA | Verde</t>
        </is>
      </c>
      <c r="B380" s="46" t="inlineStr">
        <is>
          <t>Ultra PLA</t>
        </is>
      </c>
      <c r="C380" s="91" t="n">
        <v>0</v>
      </c>
      <c r="D380" s="91" t="n">
        <v>0</v>
      </c>
      <c r="E380" s="91" t="n">
        <v>0</v>
      </c>
      <c r="F380" s="53">
        <f>C380+D380-E380</f>
        <v/>
      </c>
      <c r="G380" s="54">
        <f>F380/1000</f>
        <v/>
      </c>
      <c r="H380" s="55">
        <f>IF(F380&lt;200,"⚠️ BAIXO",IF(F380&lt;500,"📦 OK","✅ CHEIO"))</f>
        <v/>
      </c>
    </row>
    <row r="381" ht="18" customHeight="1" s="109">
      <c r="A381" s="15" t="inlineStr">
        <is>
          <t>Soleyin | Ultra PLA | Verde Claro</t>
        </is>
      </c>
      <c r="B381" s="33" t="inlineStr">
        <is>
          <t>Ultra PLA</t>
        </is>
      </c>
      <c r="C381" s="91" t="n">
        <v>0</v>
      </c>
      <c r="D381" s="91" t="n">
        <v>0</v>
      </c>
      <c r="E381" s="91" t="n">
        <v>0</v>
      </c>
      <c r="F381" s="53">
        <f>C381+D381-E381</f>
        <v/>
      </c>
      <c r="G381" s="54">
        <f>F381/1000</f>
        <v/>
      </c>
      <c r="H381" s="55">
        <f>IF(F381&lt;200,"⚠️ BAIXO",IF(F381&lt;500,"📦 OK","✅ CHEIO"))</f>
        <v/>
      </c>
    </row>
    <row r="382" ht="18" customHeight="1" s="109">
      <c r="A382" s="19" t="inlineStr">
        <is>
          <t>Soleyin | PLA Matte | Branco</t>
        </is>
      </c>
      <c r="B382" s="46" t="inlineStr">
        <is>
          <t>PLA Matte</t>
        </is>
      </c>
      <c r="C382" s="91" t="n">
        <v>0</v>
      </c>
      <c r="D382" s="91" t="n">
        <v>0</v>
      </c>
      <c r="E382" s="91" t="n">
        <v>0</v>
      </c>
      <c r="F382" s="53">
        <f>C382+D382-E382</f>
        <v/>
      </c>
      <c r="G382" s="54">
        <f>F382/1000</f>
        <v/>
      </c>
      <c r="H382" s="55">
        <f>IF(F382&lt;200,"⚠️ BAIXO",IF(F382&lt;500,"📦 OK","✅ CHEIO"))</f>
        <v/>
      </c>
    </row>
    <row r="383" ht="18" customHeight="1" s="109">
      <c r="A383" s="15" t="inlineStr">
        <is>
          <t>Soleyin | PLA Matte | Preto</t>
        </is>
      </c>
      <c r="B383" s="33" t="inlineStr">
        <is>
          <t>PLA Matte</t>
        </is>
      </c>
      <c r="C383" s="91" t="n">
        <v>0</v>
      </c>
      <c r="D383" s="91" t="n">
        <v>0</v>
      </c>
      <c r="E383" s="91" t="n">
        <v>0</v>
      </c>
      <c r="F383" s="53">
        <f>C383+D383-E383</f>
        <v/>
      </c>
      <c r="G383" s="54">
        <f>F383/1000</f>
        <v/>
      </c>
      <c r="H383" s="55">
        <f>IF(F383&lt;200,"⚠️ BAIXO",IF(F383&lt;500,"📦 OK","✅ CHEIO"))</f>
        <v/>
      </c>
    </row>
    <row r="384" ht="18" customHeight="1" s="109">
      <c r="A384" s="19" t="inlineStr">
        <is>
          <t>Soleyin | PLA Matte | Cinza</t>
        </is>
      </c>
      <c r="B384" s="46" t="inlineStr">
        <is>
          <t>PLA Matte</t>
        </is>
      </c>
      <c r="C384" s="91" t="n">
        <v>0</v>
      </c>
      <c r="D384" s="91" t="n">
        <v>0</v>
      </c>
      <c r="E384" s="91" t="n">
        <v>0</v>
      </c>
      <c r="F384" s="53">
        <f>C384+D384-E384</f>
        <v/>
      </c>
      <c r="G384" s="54">
        <f>F384/1000</f>
        <v/>
      </c>
      <c r="H384" s="55">
        <f>IF(F384&lt;200,"⚠️ BAIXO",IF(F384&lt;500,"📦 OK","✅ CHEIO"))</f>
        <v/>
      </c>
    </row>
    <row r="385" ht="18" customHeight="1" s="109">
      <c r="A385" s="15" t="inlineStr">
        <is>
          <t>Soleyin | PLA Matte | Vermelho</t>
        </is>
      </c>
      <c r="B385" s="33" t="inlineStr">
        <is>
          <t>PLA Matte</t>
        </is>
      </c>
      <c r="C385" s="91" t="n">
        <v>0</v>
      </c>
      <c r="D385" s="91" t="n">
        <v>0</v>
      </c>
      <c r="E385" s="91" t="n">
        <v>0</v>
      </c>
      <c r="F385" s="53">
        <f>C385+D385-E385</f>
        <v/>
      </c>
      <c r="G385" s="54">
        <f>F385/1000</f>
        <v/>
      </c>
      <c r="H385" s="55">
        <f>IF(F385&lt;200,"⚠️ BAIXO",IF(F385&lt;500,"📦 OK","✅ CHEIO"))</f>
        <v/>
      </c>
    </row>
    <row r="386" ht="18" customHeight="1" s="109">
      <c r="A386" s="19" t="inlineStr">
        <is>
          <t>Soleyin | PLA Matte | Azul</t>
        </is>
      </c>
      <c r="B386" s="46" t="inlineStr">
        <is>
          <t>PLA Matte</t>
        </is>
      </c>
      <c r="C386" s="91" t="n">
        <v>0</v>
      </c>
      <c r="D386" s="91" t="n">
        <v>0</v>
      </c>
      <c r="E386" s="91" t="n">
        <v>0</v>
      </c>
      <c r="F386" s="53">
        <f>C386+D386-E386</f>
        <v/>
      </c>
      <c r="G386" s="54">
        <f>F386/1000</f>
        <v/>
      </c>
      <c r="H386" s="55">
        <f>IF(F386&lt;200,"⚠️ BAIXO",IF(F386&lt;500,"📦 OK","✅ CHEIO"))</f>
        <v/>
      </c>
    </row>
    <row r="387" ht="18" customHeight="1" s="109">
      <c r="A387" s="15" t="inlineStr">
        <is>
          <t>Soleyin | PLA Matte | Verde</t>
        </is>
      </c>
      <c r="B387" s="33" t="inlineStr">
        <is>
          <t>PLA Matte</t>
        </is>
      </c>
      <c r="C387" s="91" t="n">
        <v>0</v>
      </c>
      <c r="D387" s="91" t="n">
        <v>0</v>
      </c>
      <c r="E387" s="91" t="n">
        <v>0</v>
      </c>
      <c r="F387" s="53">
        <f>C387+D387-E387</f>
        <v/>
      </c>
      <c r="G387" s="54">
        <f>F387/1000</f>
        <v/>
      </c>
      <c r="H387" s="55">
        <f>IF(F387&lt;200,"⚠️ BAIXO",IF(F387&lt;500,"📦 OK","✅ CHEIO"))</f>
        <v/>
      </c>
    </row>
    <row r="388" ht="15.75" customHeight="1" s="109">
      <c r="A388" s="56" t="n"/>
      <c r="B388" s="56" t="n"/>
      <c r="C388" s="56" t="n"/>
      <c r="D388" s="56" t="n"/>
      <c r="E388" s="56" t="n"/>
      <c r="F388" s="56" t="n"/>
      <c r="G388" s="56" t="n"/>
      <c r="H388" s="56" t="n"/>
    </row>
    <row r="389" ht="15.75" customHeight="1" s="109">
      <c r="A389" s="56" t="n"/>
      <c r="B389" s="56" t="n"/>
      <c r="C389" s="56" t="n"/>
      <c r="D389" s="56" t="n"/>
      <c r="E389" s="56" t="n"/>
      <c r="F389" s="56" t="n"/>
      <c r="G389" s="56" t="n"/>
      <c r="H389" s="56" t="n"/>
    </row>
    <row r="390" ht="15.75" customHeight="1" s="109">
      <c r="A390" s="56" t="n"/>
      <c r="B390" s="56" t="n"/>
      <c r="C390" s="56" t="n"/>
      <c r="D390" s="56" t="n"/>
      <c r="E390" s="56" t="n"/>
      <c r="F390" s="56" t="n"/>
      <c r="G390" s="56" t="n"/>
      <c r="H390" s="56" t="n"/>
    </row>
    <row r="391" ht="15.75" customHeight="1" s="109">
      <c r="A391" s="56" t="n"/>
      <c r="B391" s="56" t="n"/>
      <c r="C391" s="56" t="n"/>
      <c r="D391" s="56" t="n"/>
      <c r="E391" s="56" t="n"/>
      <c r="F391" s="56" t="n"/>
      <c r="G391" s="56" t="n"/>
      <c r="H391" s="56" t="n"/>
    </row>
    <row r="392" ht="15.75" customHeight="1" s="109">
      <c r="A392" s="56" t="n"/>
      <c r="B392" s="56" t="n"/>
      <c r="C392" s="56" t="n"/>
      <c r="D392" s="56" t="n"/>
      <c r="E392" s="56" t="n"/>
      <c r="F392" s="56" t="n"/>
      <c r="G392" s="56" t="n"/>
      <c r="H392" s="56" t="n"/>
    </row>
    <row r="393" ht="15.75" customHeight="1" s="109">
      <c r="A393" s="56" t="n"/>
      <c r="B393" s="56" t="n"/>
      <c r="C393" s="56" t="n"/>
      <c r="D393" s="56" t="n"/>
      <c r="E393" s="56" t="n"/>
      <c r="F393" s="56" t="n"/>
      <c r="G393" s="56" t="n"/>
      <c r="H393" s="56" t="n"/>
    </row>
    <row r="394" ht="15.75" customHeight="1" s="109">
      <c r="A394" s="56" t="n"/>
      <c r="B394" s="56" t="n"/>
      <c r="C394" s="56" t="n"/>
      <c r="D394" s="56" t="n"/>
      <c r="E394" s="56" t="n"/>
      <c r="F394" s="56" t="n"/>
      <c r="G394" s="56" t="n"/>
      <c r="H394" s="56" t="n"/>
    </row>
    <row r="395" ht="15.75" customHeight="1" s="109">
      <c r="A395" s="56" t="n"/>
      <c r="B395" s="56" t="n"/>
      <c r="C395" s="56" t="n"/>
      <c r="D395" s="56" t="n"/>
      <c r="E395" s="56" t="n"/>
      <c r="F395" s="56" t="n"/>
      <c r="G395" s="56" t="n"/>
      <c r="H395" s="56" t="n"/>
    </row>
    <row r="396" ht="15.75" customHeight="1" s="109">
      <c r="A396" s="56" t="n"/>
      <c r="B396" s="56" t="n"/>
      <c r="C396" s="56" t="n"/>
      <c r="D396" s="56" t="n"/>
      <c r="E396" s="56" t="n"/>
      <c r="F396" s="56" t="n"/>
      <c r="G396" s="56" t="n"/>
      <c r="H396" s="56" t="n"/>
    </row>
    <row r="397" ht="15.75" customHeight="1" s="109">
      <c r="A397" s="56" t="n"/>
      <c r="B397" s="56" t="n"/>
      <c r="C397" s="56" t="n"/>
      <c r="D397" s="56" t="n"/>
      <c r="E397" s="56" t="n"/>
      <c r="F397" s="56" t="n"/>
      <c r="G397" s="56" t="n"/>
      <c r="H397" s="56" t="n"/>
    </row>
    <row r="398" ht="15.75" customHeight="1" s="109">
      <c r="A398" s="56" t="n"/>
      <c r="B398" s="56" t="n"/>
      <c r="C398" s="56" t="n"/>
      <c r="D398" s="56" t="n"/>
      <c r="E398" s="56" t="n"/>
      <c r="F398" s="56" t="n"/>
      <c r="G398" s="56" t="n"/>
      <c r="H398" s="56" t="n"/>
    </row>
    <row r="399" ht="15.75" customHeight="1" s="109">
      <c r="A399" s="56" t="n"/>
      <c r="B399" s="56" t="n"/>
      <c r="C399" s="56" t="n"/>
      <c r="D399" s="56" t="n"/>
      <c r="E399" s="56" t="n"/>
      <c r="F399" s="56" t="n"/>
      <c r="G399" s="56" t="n"/>
      <c r="H399" s="56" t="n"/>
    </row>
    <row r="400" ht="15.75" customHeight="1" s="109">
      <c r="A400" s="56" t="n"/>
      <c r="B400" s="56" t="n"/>
      <c r="C400" s="56" t="n"/>
      <c r="D400" s="56" t="n"/>
      <c r="E400" s="56" t="n"/>
      <c r="F400" s="56" t="n"/>
      <c r="G400" s="56" t="n"/>
      <c r="H400" s="56" t="n"/>
    </row>
    <row r="401" ht="15.75" customHeight="1" s="109">
      <c r="A401" s="56" t="n"/>
      <c r="B401" s="56" t="n"/>
      <c r="C401" s="56" t="n"/>
      <c r="D401" s="56" t="n"/>
      <c r="E401" s="56" t="n"/>
      <c r="F401" s="56" t="n"/>
      <c r="G401" s="56" t="n"/>
      <c r="H401" s="56" t="n"/>
    </row>
    <row r="402" ht="15.75" customHeight="1" s="109">
      <c r="A402" s="56" t="n"/>
      <c r="B402" s="56" t="n"/>
      <c r="C402" s="56" t="n"/>
      <c r="D402" s="56" t="n"/>
      <c r="E402" s="56" t="n"/>
      <c r="F402" s="56" t="n"/>
      <c r="G402" s="56" t="n"/>
      <c r="H402" s="56" t="n"/>
    </row>
    <row r="403" ht="15.75" customHeight="1" s="109">
      <c r="A403" s="56" t="n"/>
      <c r="B403" s="56" t="n"/>
      <c r="C403" s="56" t="n"/>
      <c r="D403" s="56" t="n"/>
      <c r="E403" s="56" t="n"/>
      <c r="F403" s="56" t="n"/>
      <c r="G403" s="56" t="n"/>
      <c r="H403" s="56" t="n"/>
    </row>
    <row r="404" ht="15.75" customHeight="1" s="109">
      <c r="A404" s="56" t="n"/>
      <c r="B404" s="56" t="n"/>
      <c r="C404" s="56" t="n"/>
      <c r="D404" s="56" t="n"/>
      <c r="E404" s="56" t="n"/>
      <c r="F404" s="56" t="n"/>
      <c r="G404" s="56" t="n"/>
      <c r="H404" s="56" t="n"/>
    </row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5" customWidth="1" style="109" min="2" max="2"/>
    <col width="28" customWidth="1" style="109" min="3" max="3"/>
    <col width="8" customWidth="1" style="109" min="4" max="4"/>
    <col width="12" customWidth="1" style="109" min="5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57" t="inlineStr">
        <is>
          <t>Nº</t>
        </is>
      </c>
      <c r="B4" s="58" t="inlineStr">
        <is>
          <t>Data</t>
        </is>
      </c>
      <c r="C4" s="58" t="inlineStr">
        <is>
          <t>Cliente</t>
        </is>
      </c>
      <c r="D4" s="58" t="inlineStr">
        <is>
          <t>WhatsApp</t>
        </is>
      </c>
      <c r="E4" s="58" t="inlineStr">
        <is>
          <t>Tipo Pedido</t>
        </is>
      </c>
      <c r="F4" s="58" t="inlineStr">
        <is>
          <t>Máquina</t>
        </is>
      </c>
      <c r="G4" s="58" t="inlineStr">
        <is>
          <t>Prazo</t>
        </is>
      </c>
      <c r="H4" s="58" t="inlineStr">
        <is>
          <t>Observações</t>
        </is>
      </c>
    </row>
    <row r="5" ht="25.5" customHeight="1" s="109">
      <c r="A5" s="91" t="n"/>
      <c r="B5" s="59" t="n"/>
      <c r="C5" s="91" t="n"/>
      <c r="D5" s="91" t="n"/>
      <c r="E5" s="91" t="inlineStr">
        <is>
          <t>Pedido</t>
        </is>
      </c>
      <c r="F5" s="91" t="inlineStr">
        <is>
          <t>M1</t>
        </is>
      </c>
      <c r="G5" s="59" t="n"/>
      <c r="H5" s="91" t="n"/>
    </row>
    <row r="7" ht="15.75" customHeight="1" s="109">
      <c r="A7" s="113" t="inlineStr">
        <is>
          <t>💡  Selecione o produto → preços automáticos → copie para 📦 Pedidos quando confirmar</t>
        </is>
      </c>
    </row>
    <row r="8" ht="13.5" customHeight="1" s="109">
      <c r="A8" s="1" t="n"/>
      <c r="B8" s="1" t="n"/>
      <c r="C8" s="1" t="n"/>
      <c r="D8" s="1" t="n"/>
      <c r="E8" s="30" t="inlineStr">
        <is>
          <t>PRECIFICAÇÃO</t>
        </is>
      </c>
      <c r="F8" s="114" t="n"/>
      <c r="G8" s="114" t="n"/>
      <c r="H8" s="115" t="n"/>
    </row>
    <row r="9" ht="21.75" customHeight="1" s="109">
      <c r="A9" s="7" t="inlineStr">
        <is>
          <t>#</t>
        </is>
      </c>
      <c r="B9" s="7" t="inlineStr">
        <is>
          <t>Produto</t>
        </is>
      </c>
      <c r="C9" s="7" t="inlineStr">
        <is>
          <t>Qtd</t>
        </is>
      </c>
      <c r="D9" s="7" t="inlineStr">
        <is>
          <t>Varejo / Atacado</t>
        </is>
      </c>
      <c r="E9" s="30" t="inlineStr">
        <is>
          <t>Custo Est.</t>
        </is>
      </c>
      <c r="F9" s="30" t="inlineStr">
        <is>
          <t>Sugerido</t>
        </is>
      </c>
      <c r="G9" s="30" t="inlineStr">
        <is>
          <t>Valor Final</t>
        </is>
      </c>
      <c r="H9" s="30" t="inlineStr">
        <is>
          <t>Total</t>
        </is>
      </c>
    </row>
    <row r="10" ht="24" customHeight="1" s="109">
      <c r="A10" s="60" t="n">
        <v>1</v>
      </c>
      <c r="B10" s="61" t="n"/>
      <c r="C10" s="33" t="n"/>
      <c r="D10" s="33" t="inlineStr">
        <is>
          <t>Varejo</t>
        </is>
      </c>
      <c r="E10" s="39">
        <f>IF(B10="","",IFERROR(VLOOKUP(B10,'📋 Catálogo'!$B$7:$S$41,16,0),""))</f>
        <v/>
      </c>
      <c r="F10" s="40">
        <f>IF(B10="","",IF(D10="Atacado",IFERROR(VLOOKUP(B10,'📋 Catálogo'!$B$7:$S$41,18,0),""),IFERROR(VLOOKUP(B10,'📋 Catálogo'!$B$7:$S$41,17,0),"")))</f>
        <v/>
      </c>
      <c r="G10" s="62">
        <f>IF(F10="","",F10)</f>
        <v/>
      </c>
      <c r="H10" s="63">
        <f>IF(OR(C10="",G10=""),"",C10*G10)</f>
        <v/>
      </c>
    </row>
    <row r="11" ht="24" customHeight="1" s="109">
      <c r="A11" s="64" t="n">
        <v>2</v>
      </c>
      <c r="B11" s="65" t="n"/>
      <c r="C11" s="46" t="n"/>
      <c r="D11" s="46" t="inlineStr">
        <is>
          <t>Varejo</t>
        </is>
      </c>
      <c r="E11" s="39">
        <f>IF(B11="","",IFERROR(VLOOKUP(B11,'📋 Catálogo'!$B$7:$S$41,16,0),""))</f>
        <v/>
      </c>
      <c r="F11" s="40">
        <f>IF(B11="","",IF(D11="Atacado",IFERROR(VLOOKUP(B11,'📋 Catálogo'!$B$7:$S$41,18,0),""),IFERROR(VLOOKUP(B11,'📋 Catálogo'!$B$7:$S$41,17,0),"")))</f>
        <v/>
      </c>
      <c r="G11" s="62">
        <f>IF(F11="","",F11)</f>
        <v/>
      </c>
      <c r="H11" s="63">
        <f>IF(OR(C11="",G11=""),"",C11*G11)</f>
        <v/>
      </c>
    </row>
    <row r="12" ht="24" customHeight="1" s="109">
      <c r="A12" s="60" t="n">
        <v>3</v>
      </c>
      <c r="B12" s="61" t="n"/>
      <c r="C12" s="33" t="n"/>
      <c r="D12" s="33" t="inlineStr">
        <is>
          <t>Varejo</t>
        </is>
      </c>
      <c r="E12" s="39">
        <f>IF(B12="","",IFERROR(VLOOKUP(B12,'📋 Catálogo'!$B$7:$S$41,16,0),""))</f>
        <v/>
      </c>
      <c r="F12" s="40">
        <f>IF(B12="","",IF(D12="Atacado",IFERROR(VLOOKUP(B12,'📋 Catálogo'!$B$7:$S$41,18,0),""),IFERROR(VLOOKUP(B12,'📋 Catálogo'!$B$7:$S$41,17,0),"")))</f>
        <v/>
      </c>
      <c r="G12" s="62">
        <f>IF(F12="","",F12)</f>
        <v/>
      </c>
      <c r="H12" s="63">
        <f>IF(OR(C12="",G12=""),"",C12*G12)</f>
        <v/>
      </c>
    </row>
    <row r="13" ht="24" customHeight="1" s="109">
      <c r="A13" s="64" t="n">
        <v>4</v>
      </c>
      <c r="B13" s="65" t="n"/>
      <c r="C13" s="46" t="n"/>
      <c r="D13" s="46" t="inlineStr">
        <is>
          <t>Varejo</t>
        </is>
      </c>
      <c r="E13" s="39">
        <f>IF(B13="","",IFERROR(VLOOKUP(B13,'📋 Catálogo'!$B$7:$S$41,16,0),""))</f>
        <v/>
      </c>
      <c r="F13" s="40">
        <f>IF(B13="","",IF(D13="Atacado",IFERROR(VLOOKUP(B13,'📋 Catálogo'!$B$7:$S$41,18,0),""),IFERROR(VLOOKUP(B13,'📋 Catálogo'!$B$7:$S$41,17,0),"")))</f>
        <v/>
      </c>
      <c r="G13" s="62">
        <f>IF(F13="","",F13)</f>
        <v/>
      </c>
      <c r="H13" s="63">
        <f>IF(OR(C13="",G13=""),"",C13*G13)</f>
        <v/>
      </c>
    </row>
    <row r="14" ht="24" customHeight="1" s="109">
      <c r="A14" s="60" t="n">
        <v>5</v>
      </c>
      <c r="B14" s="61" t="n"/>
      <c r="C14" s="33" t="n"/>
      <c r="D14" s="33" t="inlineStr">
        <is>
          <t>Varejo</t>
        </is>
      </c>
      <c r="E14" s="39">
        <f>IF(B14="","",IFERROR(VLOOKUP(B14,'📋 Catálogo'!$B$7:$S$41,16,0),""))</f>
        <v/>
      </c>
      <c r="F14" s="40">
        <f>IF(B14="","",IF(D14="Atacado",IFERROR(VLOOKUP(B14,'📋 Catálogo'!$B$7:$S$41,18,0),""),IFERROR(VLOOKUP(B14,'📋 Catálogo'!$B$7:$S$41,17,0),"")))</f>
        <v/>
      </c>
      <c r="G14" s="62">
        <f>IF(F14="","",F14)</f>
        <v/>
      </c>
      <c r="H14" s="63">
        <f>IF(OR(C14="",G14=""),"",C14*G14)</f>
        <v/>
      </c>
    </row>
    <row r="15" ht="24" customHeight="1" s="109">
      <c r="A15" s="64" t="n">
        <v>6</v>
      </c>
      <c r="B15" s="65" t="n"/>
      <c r="C15" s="46" t="n"/>
      <c r="D15" s="46" t="inlineStr">
        <is>
          <t>Varejo</t>
        </is>
      </c>
      <c r="E15" s="39">
        <f>IF(B15="","",IFERROR(VLOOKUP(B15,'📋 Catálogo'!$B$7:$S$41,16,0),""))</f>
        <v/>
      </c>
      <c r="F15" s="40">
        <f>IF(B15="","",IF(D15="Atacado",IFERROR(VLOOKUP(B15,'📋 Catálogo'!$B$7:$S$41,18,0),""),IFERROR(VLOOKUP(B15,'📋 Catálogo'!$B$7:$S$41,17,0),"")))</f>
        <v/>
      </c>
      <c r="G15" s="62">
        <f>IF(F15="","",F15)</f>
        <v/>
      </c>
      <c r="H15" s="63">
        <f>IF(OR(C15="",G15=""),"",C15*G15)</f>
        <v/>
      </c>
    </row>
    <row r="16" ht="24" customHeight="1" s="109">
      <c r="A16" s="60" t="n">
        <v>7</v>
      </c>
      <c r="B16" s="61" t="n"/>
      <c r="C16" s="33" t="n"/>
      <c r="D16" s="33" t="inlineStr">
        <is>
          <t>Varejo</t>
        </is>
      </c>
      <c r="E16" s="39">
        <f>IF(B16="","",IFERROR(VLOOKUP(B16,'📋 Catálogo'!$B$7:$S$41,16,0),""))</f>
        <v/>
      </c>
      <c r="F16" s="40">
        <f>IF(B16="","",IF(D16="Atacado",IFERROR(VLOOKUP(B16,'📋 Catálogo'!$B$7:$S$41,18,0),""),IFERROR(VLOOKUP(B16,'📋 Catálogo'!$B$7:$S$41,17,0),"")))</f>
        <v/>
      </c>
      <c r="G16" s="62">
        <f>IF(F16="","",F16)</f>
        <v/>
      </c>
      <c r="H16" s="63">
        <f>IF(OR(C16="",G16=""),"",C16*G16)</f>
        <v/>
      </c>
    </row>
    <row r="17" ht="24" customHeight="1" s="109">
      <c r="A17" s="64" t="n">
        <v>8</v>
      </c>
      <c r="B17" s="65" t="n"/>
      <c r="C17" s="46" t="n"/>
      <c r="D17" s="46" t="inlineStr">
        <is>
          <t>Varejo</t>
        </is>
      </c>
      <c r="E17" s="39">
        <f>IF(B17="","",IFERROR(VLOOKUP(B17,'📋 Catálogo'!$B$7:$S$41,16,0),""))</f>
        <v/>
      </c>
      <c r="F17" s="40">
        <f>IF(B17="","",IF(D17="Atacado",IFERROR(VLOOKUP(B17,'📋 Catálogo'!$B$7:$S$41,18,0),""),IFERROR(VLOOKUP(B17,'📋 Catálogo'!$B$7:$S$41,17,0),"")))</f>
        <v/>
      </c>
      <c r="G17" s="62">
        <f>IF(F17="","",F17)</f>
        <v/>
      </c>
      <c r="H17" s="63">
        <f>IF(OR(C17="",G17=""),"",C17*G17)</f>
        <v/>
      </c>
    </row>
    <row r="18" ht="24" customHeight="1" s="109">
      <c r="A18" s="60" t="n">
        <v>9</v>
      </c>
      <c r="B18" s="61" t="n"/>
      <c r="C18" s="33" t="n"/>
      <c r="D18" s="33" t="inlineStr">
        <is>
          <t>Varejo</t>
        </is>
      </c>
      <c r="E18" s="39">
        <f>IF(B18="","",IFERROR(VLOOKUP(B18,'📋 Catálogo'!$B$7:$S$41,16,0),""))</f>
        <v/>
      </c>
      <c r="F18" s="40">
        <f>IF(B18="","",IF(D18="Atacado",IFERROR(VLOOKUP(B18,'📋 Catálogo'!$B$7:$S$41,18,0),""),IFERROR(VLOOKUP(B18,'📋 Catálogo'!$B$7:$S$41,17,0),"")))</f>
        <v/>
      </c>
      <c r="G18" s="62">
        <f>IF(F18="","",F18)</f>
        <v/>
      </c>
      <c r="H18" s="63">
        <f>IF(OR(C18="",G18=""),"",C18*G18)</f>
        <v/>
      </c>
    </row>
    <row r="19" ht="24" customHeight="1" s="109">
      <c r="A19" s="64" t="n">
        <v>10</v>
      </c>
      <c r="B19" s="65" t="n"/>
      <c r="C19" s="46" t="n"/>
      <c r="D19" s="46" t="inlineStr">
        <is>
          <t>Varejo</t>
        </is>
      </c>
      <c r="E19" s="39">
        <f>IF(B19="","",IFERROR(VLOOKUP(B19,'📋 Catálogo'!$B$7:$S$41,16,0),""))</f>
        <v/>
      </c>
      <c r="F19" s="40">
        <f>IF(B19="","",IF(D19="Atacado",IFERROR(VLOOKUP(B19,'📋 Catálogo'!$B$7:$S$41,18,0),""),IFERROR(VLOOKUP(B19,'📋 Catálogo'!$B$7:$S$41,17,0),"")))</f>
        <v/>
      </c>
      <c r="G19" s="62">
        <f>IF(F19="","",F19)</f>
        <v/>
      </c>
      <c r="H19" s="63">
        <f>IF(OR(C19="",G19=""),"",C19*G19)</f>
        <v/>
      </c>
    </row>
    <row r="20" ht="24" customHeight="1" s="109">
      <c r="A20" s="60" t="n">
        <v>11</v>
      </c>
      <c r="B20" s="61" t="n"/>
      <c r="C20" s="33" t="n"/>
      <c r="D20" s="33" t="inlineStr">
        <is>
          <t>Varejo</t>
        </is>
      </c>
      <c r="E20" s="39">
        <f>IF(B20="","",IFERROR(VLOOKUP(B20,'📋 Catálogo'!$B$7:$S$41,16,0),""))</f>
        <v/>
      </c>
      <c r="F20" s="40">
        <f>IF(B20="","",IF(D20="Atacado",IFERROR(VLOOKUP(B20,'📋 Catálogo'!$B$7:$S$41,18,0),""),IFERROR(VLOOKUP(B20,'📋 Catálogo'!$B$7:$S$41,17,0),"")))</f>
        <v/>
      </c>
      <c r="G20" s="62">
        <f>IF(F20="","",F20)</f>
        <v/>
      </c>
      <c r="H20" s="63">
        <f>IF(OR(C20="",G20=""),"",C20*G20)</f>
        <v/>
      </c>
    </row>
    <row r="21" ht="24" customHeight="1" s="109">
      <c r="A21" s="64" t="n">
        <v>12</v>
      </c>
      <c r="B21" s="65" t="n"/>
      <c r="C21" s="46" t="n"/>
      <c r="D21" s="46" t="inlineStr">
        <is>
          <t>Varejo</t>
        </is>
      </c>
      <c r="E21" s="39">
        <f>IF(B21="","",IFERROR(VLOOKUP(B21,'📋 Catálogo'!$B$7:$S$41,16,0),""))</f>
        <v/>
      </c>
      <c r="F21" s="40">
        <f>IF(B21="","",IF(D21="Atacado",IFERROR(VLOOKUP(B21,'📋 Catálogo'!$B$7:$S$41,18,0),""),IFERROR(VLOOKUP(B21,'📋 Catálogo'!$B$7:$S$41,17,0),"")))</f>
        <v/>
      </c>
      <c r="G21" s="62">
        <f>IF(F21="","",F21)</f>
        <v/>
      </c>
      <c r="H21" s="63">
        <f>IF(OR(C21="",G21=""),"",C21*G21)</f>
        <v/>
      </c>
    </row>
    <row r="22" ht="24" customHeight="1" s="109">
      <c r="A22" s="60" t="n">
        <v>13</v>
      </c>
      <c r="B22" s="61" t="n"/>
      <c r="C22" s="33" t="n"/>
      <c r="D22" s="33" t="inlineStr">
        <is>
          <t>Varejo</t>
        </is>
      </c>
      <c r="E22" s="39">
        <f>IF(B22="","",IFERROR(VLOOKUP(B22,'📋 Catálogo'!$B$7:$S$41,16,0),""))</f>
        <v/>
      </c>
      <c r="F22" s="40">
        <f>IF(B22="","",IF(D22="Atacado",IFERROR(VLOOKUP(B22,'📋 Catálogo'!$B$7:$S$41,18,0),""),IFERROR(VLOOKUP(B22,'📋 Catálogo'!$B$7:$S$41,17,0),"")))</f>
        <v/>
      </c>
      <c r="G22" s="62">
        <f>IF(F22="","",F22)</f>
        <v/>
      </c>
      <c r="H22" s="63">
        <f>IF(OR(C22="",G22=""),"",C22*G22)</f>
        <v/>
      </c>
    </row>
    <row r="23" ht="24" customHeight="1" s="109">
      <c r="A23" s="64" t="n">
        <v>14</v>
      </c>
      <c r="B23" s="65" t="n"/>
      <c r="C23" s="46" t="n"/>
      <c r="D23" s="46" t="inlineStr">
        <is>
          <t>Varejo</t>
        </is>
      </c>
      <c r="E23" s="39">
        <f>IF(B23="","",IFERROR(VLOOKUP(B23,'📋 Catálogo'!$B$7:$S$41,16,0),""))</f>
        <v/>
      </c>
      <c r="F23" s="40">
        <f>IF(B23="","",IF(D23="Atacado",IFERROR(VLOOKUP(B23,'📋 Catálogo'!$B$7:$S$41,18,0),""),IFERROR(VLOOKUP(B23,'📋 Catálogo'!$B$7:$S$41,17,0),"")))</f>
        <v/>
      </c>
      <c r="G23" s="62">
        <f>IF(F23="","",F23)</f>
        <v/>
      </c>
      <c r="H23" s="63">
        <f>IF(OR(C23="",G23=""),"",C23*G23)</f>
        <v/>
      </c>
    </row>
    <row r="24" ht="24" customHeight="1" s="109">
      <c r="A24" s="60" t="n">
        <v>15</v>
      </c>
      <c r="B24" s="61" t="n"/>
      <c r="C24" s="33" t="n"/>
      <c r="D24" s="33" t="inlineStr">
        <is>
          <t>Varejo</t>
        </is>
      </c>
      <c r="E24" s="39">
        <f>IF(B24="","",IFERROR(VLOOKUP(B24,'📋 Catálogo'!$B$7:$S$41,16,0),""))</f>
        <v/>
      </c>
      <c r="F24" s="40">
        <f>IF(B24="","",IF(D24="Atacado",IFERROR(VLOOKUP(B24,'📋 Catálogo'!$B$7:$S$41,18,0),""),IFERROR(VLOOKUP(B24,'📋 Catálogo'!$B$7:$S$41,17,0),"")))</f>
        <v/>
      </c>
      <c r="G24" s="62">
        <f>IF(F24="","",F24)</f>
        <v/>
      </c>
      <c r="H24" s="63">
        <f>IF(OR(C24="",G24=""),"",C24*G24)</f>
        <v/>
      </c>
    </row>
    <row r="25" ht="15.75" customHeight="1" s="109"/>
    <row r="26" ht="25.5" customHeight="1" s="109">
      <c r="A26" s="116" t="inlineStr">
        <is>
          <t>TOTAL PEÇAS:</t>
        </is>
      </c>
      <c r="C26" s="0">
        <f>SUM(C10:C24)</f>
        <v/>
      </c>
      <c r="E26" s="0" t="inlineStr">
        <is>
          <t>CUSTO TOTAL:</t>
        </is>
      </c>
      <c r="F26" s="0">
        <f>SUMPRODUCT(C10:C24,E10:E24)</f>
        <v/>
      </c>
      <c r="G26" s="67" t="inlineStr">
        <is>
          <t>TOTAL R$:</t>
        </is>
      </c>
      <c r="H26" s="68">
        <f>SUM(H10:H24)</f>
        <v/>
      </c>
    </row>
    <row r="27" ht="15.75" customHeight="1" s="109"/>
    <row r="28" ht="30" customHeight="1" s="109">
      <c r="A28" s="117" t="inlineStr">
        <is>
          <t>✅  Após preencher:   🖨️ TALDO  →  Confirmar Pedido</t>
        </is>
      </c>
      <c r="B28" s="114" t="n"/>
      <c r="C28" s="114" t="n"/>
      <c r="D28" s="114" t="n"/>
      <c r="E28" s="114" t="n"/>
      <c r="F28" s="114" t="n"/>
      <c r="G28" s="114" t="n"/>
      <c r="H28" s="115" t="n"/>
    </row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5">
    <mergeCell ref="E8:H8"/>
    <mergeCell ref="B1:H1"/>
    <mergeCell ref="A7:H7"/>
    <mergeCell ref="A2:H2"/>
    <mergeCell ref="A28:H28"/>
  </mergeCells>
  <conditionalFormatting sqref="G10">
    <cfRule type="expression" priority="1" dxfId="0">
      <formula>AND(G10&lt;&gt;"",F10&lt;&gt;"",G10&gt;=F10)</formula>
    </cfRule>
    <cfRule type="expression" priority="2" dxfId="1">
      <formula>AND(G10&lt;&gt;"",F10&lt;&gt;"",G10&gt;=F10*0.7,G10&lt;F10)</formula>
    </cfRule>
    <cfRule type="expression" priority="3" dxfId="2">
      <formula>AND(G10&lt;&gt;"",F10&lt;&gt;"",G10&lt;F10*0.7)</formula>
    </cfRule>
  </conditionalFormatting>
  <conditionalFormatting sqref="G11">
    <cfRule type="expression" priority="4" dxfId="0">
      <formula>AND(G11&lt;&gt;"",F11&lt;&gt;"",G11&gt;=F11)</formula>
    </cfRule>
    <cfRule type="expression" priority="5" dxfId="1">
      <formula>AND(G11&lt;&gt;"",F11&lt;&gt;"",G11&gt;=F11*0.7,G11&lt;F11)</formula>
    </cfRule>
    <cfRule type="expression" priority="6" dxfId="2">
      <formula>AND(G11&lt;&gt;"",F11&lt;&gt;"",G11&lt;F11*0.7)</formula>
    </cfRule>
  </conditionalFormatting>
  <conditionalFormatting sqref="G12">
    <cfRule type="expression" priority="7" dxfId="0">
      <formula>AND(G12&lt;&gt;"",F12&lt;&gt;"",G12&gt;=F12)</formula>
    </cfRule>
    <cfRule type="expression" priority="8" dxfId="1">
      <formula>AND(G12&lt;&gt;"",F12&lt;&gt;"",G12&gt;=F12*0.7,G12&lt;F12)</formula>
    </cfRule>
    <cfRule type="expression" priority="9" dxfId="2">
      <formula>AND(G12&lt;&gt;"",F12&lt;&gt;"",G12&lt;F12*0.7)</formula>
    </cfRule>
  </conditionalFormatting>
  <conditionalFormatting sqref="G13">
    <cfRule type="expression" priority="10" dxfId="0">
      <formula>AND(G13&lt;&gt;"",F13&lt;&gt;"",G13&gt;=F13)</formula>
    </cfRule>
    <cfRule type="expression" priority="11" dxfId="1">
      <formula>AND(G13&lt;&gt;"",F13&lt;&gt;"",G13&gt;=F13*0.7,G13&lt;F13)</formula>
    </cfRule>
    <cfRule type="expression" priority="12" dxfId="2">
      <formula>AND(G13&lt;&gt;"",F13&lt;&gt;"",G13&lt;F13*0.7)</formula>
    </cfRule>
  </conditionalFormatting>
  <conditionalFormatting sqref="G14">
    <cfRule type="expression" priority="13" dxfId="0">
      <formula>AND(G14&lt;&gt;"",F14&lt;&gt;"",G14&gt;=F14)</formula>
    </cfRule>
    <cfRule type="expression" priority="14" dxfId="1">
      <formula>AND(G14&lt;&gt;"",F14&lt;&gt;"",G14&gt;=F14*0.7,G14&lt;F14)</formula>
    </cfRule>
    <cfRule type="expression" priority="15" dxfId="2">
      <formula>AND(G14&lt;&gt;"",F14&lt;&gt;"",G14&lt;F14*0.7)</formula>
    </cfRule>
  </conditionalFormatting>
  <conditionalFormatting sqref="G15">
    <cfRule type="expression" priority="16" dxfId="0">
      <formula>AND(G15&lt;&gt;"",F15&lt;&gt;"",G15&gt;=F15)</formula>
    </cfRule>
    <cfRule type="expression" priority="17" dxfId="1">
      <formula>AND(G15&lt;&gt;"",F15&lt;&gt;"",G15&gt;=F15*0.7,G15&lt;F15)</formula>
    </cfRule>
    <cfRule type="expression" priority="18" dxfId="2">
      <formula>AND(G15&lt;&gt;"",F15&lt;&gt;"",G15&lt;F15*0.7)</formula>
    </cfRule>
  </conditionalFormatting>
  <conditionalFormatting sqref="G16">
    <cfRule type="expression" priority="19" dxfId="0">
      <formula>AND(G16&lt;&gt;"",F16&lt;&gt;"",G16&gt;=F16)</formula>
    </cfRule>
    <cfRule type="expression" priority="20" dxfId="1">
      <formula>AND(G16&lt;&gt;"",F16&lt;&gt;"",G16&gt;=F16*0.7,G16&lt;F16)</formula>
    </cfRule>
    <cfRule type="expression" priority="21" dxfId="2">
      <formula>AND(G16&lt;&gt;"",F16&lt;&gt;"",G16&lt;F16*0.7)</formula>
    </cfRule>
  </conditionalFormatting>
  <conditionalFormatting sqref="G17">
    <cfRule type="expression" priority="22" dxfId="0">
      <formula>AND(G17&lt;&gt;"",F17&lt;&gt;"",G17&gt;=F17)</formula>
    </cfRule>
    <cfRule type="expression" priority="23" dxfId="1">
      <formula>AND(G17&lt;&gt;"",F17&lt;&gt;"",G17&gt;=F17*0.7,G17&lt;F17)</formula>
    </cfRule>
    <cfRule type="expression" priority="24" dxfId="2">
      <formula>AND(G17&lt;&gt;"",F17&lt;&gt;"",G17&lt;F17*0.7)</formula>
    </cfRule>
  </conditionalFormatting>
  <conditionalFormatting sqref="G18">
    <cfRule type="expression" priority="25" dxfId="0">
      <formula>AND(G18&lt;&gt;"",F18&lt;&gt;"",G18&gt;=F18)</formula>
    </cfRule>
    <cfRule type="expression" priority="26" dxfId="1">
      <formula>AND(G18&lt;&gt;"",F18&lt;&gt;"",G18&gt;=F18*0.7,G18&lt;F18)</formula>
    </cfRule>
    <cfRule type="expression" priority="27" dxfId="2">
      <formula>AND(G18&lt;&gt;"",F18&lt;&gt;"",G18&lt;F18*0.7)</formula>
    </cfRule>
  </conditionalFormatting>
  <conditionalFormatting sqref="G19">
    <cfRule type="expression" priority="28" dxfId="0">
      <formula>AND(G19&lt;&gt;"",F19&lt;&gt;"",G19&gt;=F19)</formula>
    </cfRule>
    <cfRule type="expression" priority="29" dxfId="1">
      <formula>AND(G19&lt;&gt;"",F19&lt;&gt;"",G19&gt;=F19*0.7,G19&lt;F19)</formula>
    </cfRule>
    <cfRule type="expression" priority="30" dxfId="2">
      <formula>AND(G19&lt;&gt;"",F19&lt;&gt;"",G19&lt;F19*0.7)</formula>
    </cfRule>
  </conditionalFormatting>
  <conditionalFormatting sqref="G20">
    <cfRule type="expression" priority="31" dxfId="0">
      <formula>AND(G20&lt;&gt;"",F20&lt;&gt;"",G20&gt;=F20)</formula>
    </cfRule>
    <cfRule type="expression" priority="32" dxfId="1">
      <formula>AND(G20&lt;&gt;"",F20&lt;&gt;"",G20&gt;=F20*0.7,G20&lt;F20)</formula>
    </cfRule>
    <cfRule type="expression" priority="33" dxfId="2">
      <formula>AND(G20&lt;&gt;"",F20&lt;&gt;"",G20&lt;F20*0.7)</formula>
    </cfRule>
  </conditionalFormatting>
  <conditionalFormatting sqref="G21">
    <cfRule type="expression" priority="34" dxfId="0">
      <formula>AND(G21&lt;&gt;"",F21&lt;&gt;"",G21&gt;=F21)</formula>
    </cfRule>
    <cfRule type="expression" priority="35" dxfId="1">
      <formula>AND(G21&lt;&gt;"",F21&lt;&gt;"",G21&gt;=F21*0.7,G21&lt;F21)</formula>
    </cfRule>
    <cfRule type="expression" priority="36" dxfId="2">
      <formula>AND(G21&lt;&gt;"",F21&lt;&gt;"",G21&lt;F21*0.7)</formula>
    </cfRule>
  </conditionalFormatting>
  <conditionalFormatting sqref="G22">
    <cfRule type="expression" priority="37" dxfId="0">
      <formula>AND(G22&lt;&gt;"",F22&lt;&gt;"",G22&gt;=F22)</formula>
    </cfRule>
    <cfRule type="expression" priority="38" dxfId="1">
      <formula>AND(G22&lt;&gt;"",F22&lt;&gt;"",G22&gt;=F22*0.7,G22&lt;F22)</formula>
    </cfRule>
    <cfRule type="expression" priority="39" dxfId="2">
      <formula>AND(G22&lt;&gt;"",F22&lt;&gt;"",G22&lt;F22*0.7)</formula>
    </cfRule>
  </conditionalFormatting>
  <conditionalFormatting sqref="G23">
    <cfRule type="expression" priority="40" dxfId="0">
      <formula>AND(G23&lt;&gt;"",F23&lt;&gt;"",G23&gt;=F23)</formula>
    </cfRule>
    <cfRule type="expression" priority="41" dxfId="1">
      <formula>AND(G23&lt;&gt;"",F23&lt;&gt;"",G23&gt;=F23*0.7,G23&lt;F23)</formula>
    </cfRule>
    <cfRule type="expression" priority="42" dxfId="2">
      <formula>AND(G23&lt;&gt;"",F23&lt;&gt;"",G23&lt;F23*0.7)</formula>
    </cfRule>
  </conditionalFormatting>
  <conditionalFormatting sqref="G24">
    <cfRule type="expression" priority="43" dxfId="0">
      <formula>AND(G24&lt;&gt;"",F24&lt;&gt;"",G24&gt;=F24)</formula>
    </cfRule>
    <cfRule type="expression" priority="44" dxfId="1">
      <formula>AND(G24&lt;&gt;"",F24&lt;&gt;"",G24&gt;=F24*0.7,G24&lt;F24)</formula>
    </cfRule>
    <cfRule type="expression" priority="45" dxfId="2">
      <formula>AND(G24&lt;&gt;"",F24&lt;&gt;"",G24&lt;F24*0.7)</formula>
    </cfRule>
  </conditionalFormatting>
  <dataValidations count="4">
    <dataValidation sqref="F5" showDropDown="0" showInputMessage="0" showErrorMessage="0" allowBlank="1" type="list">
      <formula1>"M1,M2,M3"</formula1>
    </dataValidation>
    <dataValidation sqref="B10:B24" showDropDown="0" showInputMessage="0" showErrorMessage="0" allowBlank="1" type="list">
      <formula1>Produtos</formula1>
    </dataValidation>
    <dataValidation sqref="E5" showDropDown="0" showInputMessage="0" showErrorMessage="0" allowBlank="1" type="list">
      <formula1>"Pedido,Consignado"</formula1>
    </dataValidation>
    <dataValidation sqref="D10:D24" showDropDown="0" showInputMessage="0" showErrorMessage="0" allowBlank="1" type="list">
      <formula1>"Varejo,Atacado"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16" customWidth="1" style="109" min="5" max="5"/>
    <col width="28" customWidth="1" style="109" min="6" max="6"/>
    <col width="8" customWidth="1" style="109" min="7" max="7"/>
    <col width="12" customWidth="1" style="109" min="8" max="8"/>
    <col width="14" customWidth="1" style="109" min="9" max="9"/>
    <col width="12" customWidth="1" style="109" min="10" max="10"/>
    <col width="14" customWidth="1" style="109" min="11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Data</t>
        </is>
      </c>
      <c r="C4" s="7" t="inlineStr">
        <is>
          <t>Cliente</t>
        </is>
      </c>
      <c r="D4" s="7" t="inlineStr">
        <is>
          <t>WhatsApp</t>
        </is>
      </c>
      <c r="E4" s="7" t="inlineStr">
        <is>
          <t>Produto</t>
        </is>
      </c>
      <c r="F4" s="7" t="inlineStr">
        <is>
          <t>Qtd</t>
        </is>
      </c>
      <c r="G4" s="7" t="inlineStr">
        <is>
          <t>Valor Unit.</t>
        </is>
      </c>
      <c r="H4" s="7" t="inlineStr">
        <is>
          <t>Total</t>
        </is>
      </c>
      <c r="I4" s="7" t="inlineStr">
        <is>
          <t>Tipo V/A</t>
        </is>
      </c>
      <c r="J4" s="7" t="inlineStr">
        <is>
          <t>Status</t>
        </is>
      </c>
      <c r="K4" s="7" t="inlineStr">
        <is>
          <t>Máquina</t>
        </is>
      </c>
    </row>
    <row r="5" ht="18" customHeight="1" s="109">
      <c r="A5" s="8">
        <f>IF(E5="","",IFERROR(VLOOKUP(E5,'📋 Catálogo'!$B$7:$V$41,21,0),""))</f>
        <v/>
      </c>
      <c r="B5" s="70" t="n"/>
      <c r="C5" s="8" t="n"/>
      <c r="D5" s="8" t="n"/>
      <c r="E5" s="8" t="n"/>
      <c r="F5" s="8" t="n"/>
      <c r="G5" s="71" t="n"/>
      <c r="H5" s="39">
        <f>IF(OR(F5="",G5=""),"",F5*G5)</f>
        <v/>
      </c>
      <c r="I5" s="8" t="n"/>
      <c r="J5" s="8" t="n"/>
      <c r="K5" s="8" t="n"/>
    </row>
    <row r="6" ht="18" customHeight="1" s="109">
      <c r="A6" s="12">
        <f>IF(E6="","",IFERROR(VLOOKUP(E6,'📋 Catálogo'!$B$7:$V$41,21,0),""))</f>
        <v/>
      </c>
      <c r="B6" s="72" t="n"/>
      <c r="C6" s="12" t="n"/>
      <c r="D6" s="12" t="n"/>
      <c r="E6" s="12" t="n"/>
      <c r="F6" s="12" t="n"/>
      <c r="G6" s="73" t="n"/>
      <c r="H6" s="39">
        <f>IF(OR(F6="",G6=""),"",F6*G6)</f>
        <v/>
      </c>
      <c r="I6" s="12" t="n"/>
      <c r="J6" s="12" t="n"/>
      <c r="K6" s="12" t="n"/>
    </row>
    <row r="7" ht="18" customHeight="1" s="109">
      <c r="A7" s="8">
        <f>IF(E7="","",IFERROR(VLOOKUP(E7,'📋 Catálogo'!$B$7:$V$41,21,0),""))</f>
        <v/>
      </c>
      <c r="B7" s="70" t="n"/>
      <c r="C7" s="8" t="n"/>
      <c r="D7" s="8" t="n"/>
      <c r="E7" s="8" t="n"/>
      <c r="F7" s="8" t="n"/>
      <c r="G7" s="71" t="n"/>
      <c r="H7" s="39">
        <f>IF(OR(F7="",G7=""),"",F7*G7)</f>
        <v/>
      </c>
      <c r="I7" s="8" t="n"/>
      <c r="J7" s="8" t="n"/>
      <c r="K7" s="8" t="n"/>
    </row>
    <row r="8" ht="18" customHeight="1" s="109">
      <c r="A8" s="12">
        <f>IF(E8="","",IFERROR(VLOOKUP(E8,'📋 Catálogo'!$B$7:$V$41,21,0),""))</f>
        <v/>
      </c>
      <c r="B8" s="72" t="n"/>
      <c r="C8" s="12" t="n"/>
      <c r="D8" s="12" t="n"/>
      <c r="E8" s="12" t="n"/>
      <c r="F8" s="12" t="n"/>
      <c r="G8" s="73" t="n"/>
      <c r="H8" s="39">
        <f>IF(OR(F8="",G8=""),"",F8*G8)</f>
        <v/>
      </c>
      <c r="I8" s="12" t="n"/>
      <c r="J8" s="12" t="n"/>
      <c r="K8" s="12" t="n"/>
    </row>
    <row r="9" ht="18" customHeight="1" s="109">
      <c r="A9" s="8">
        <f>IF(E9="","",IFERROR(VLOOKUP(E9,'📋 Catálogo'!$B$7:$V$41,21,0),""))</f>
        <v/>
      </c>
      <c r="B9" s="70" t="n"/>
      <c r="C9" s="8" t="n"/>
      <c r="D9" s="8" t="n"/>
      <c r="E9" s="8" t="n"/>
      <c r="F9" s="8" t="n"/>
      <c r="G9" s="71" t="n"/>
      <c r="H9" s="39">
        <f>IF(OR(F9="",G9=""),"",F9*G9)</f>
        <v/>
      </c>
      <c r="I9" s="8" t="n"/>
      <c r="J9" s="8" t="n"/>
      <c r="K9" s="8" t="n"/>
    </row>
    <row r="10" ht="18" customHeight="1" s="109">
      <c r="A10" s="12">
        <f>IF(E10="","",IFERROR(VLOOKUP(E10,'📋 Catálogo'!$B$7:$V$41,21,0),""))</f>
        <v/>
      </c>
      <c r="B10" s="72" t="n"/>
      <c r="C10" s="12" t="n"/>
      <c r="D10" s="12" t="n"/>
      <c r="E10" s="12" t="n"/>
      <c r="F10" s="12" t="n"/>
      <c r="G10" s="73" t="n"/>
      <c r="H10" s="39">
        <f>IF(OR(F10="",G10=""),"",F10*G10)</f>
        <v/>
      </c>
      <c r="I10" s="12" t="n"/>
      <c r="J10" s="12" t="n"/>
      <c r="K10" s="12" t="n"/>
    </row>
    <row r="11" ht="18" customHeight="1" s="109">
      <c r="A11" s="8">
        <f>IF(E11="","",IFERROR(VLOOKUP(E11,'📋 Catálogo'!$B$7:$V$41,21,0),""))</f>
        <v/>
      </c>
      <c r="B11" s="70" t="n"/>
      <c r="C11" s="8" t="n"/>
      <c r="D11" s="8" t="n"/>
      <c r="E11" s="8" t="n"/>
      <c r="F11" s="8" t="n"/>
      <c r="G11" s="71" t="n"/>
      <c r="H11" s="39">
        <f>IF(OR(F11="",G11=""),"",F11*G11)</f>
        <v/>
      </c>
      <c r="I11" s="8" t="n"/>
      <c r="J11" s="8" t="n"/>
      <c r="K11" s="8" t="n"/>
    </row>
    <row r="12" ht="18" customHeight="1" s="109">
      <c r="A12" s="12">
        <f>IF(E12="","",IFERROR(VLOOKUP(E12,'📋 Catálogo'!$B$7:$V$41,21,0),""))</f>
        <v/>
      </c>
      <c r="B12" s="72" t="n"/>
      <c r="C12" s="12" t="n"/>
      <c r="D12" s="12" t="n"/>
      <c r="E12" s="12" t="n"/>
      <c r="F12" s="12" t="n"/>
      <c r="G12" s="73" t="n"/>
      <c r="H12" s="39">
        <f>IF(OR(F12="",G12=""),"",F12*G12)</f>
        <v/>
      </c>
      <c r="I12" s="12" t="n"/>
      <c r="J12" s="12" t="n"/>
      <c r="K12" s="12" t="n"/>
    </row>
    <row r="13" ht="18" customHeight="1" s="109">
      <c r="A13" s="8">
        <f>IF(E13="","",IFERROR(VLOOKUP(E13,'📋 Catálogo'!$B$7:$V$41,21,0),""))</f>
        <v/>
      </c>
      <c r="B13" s="70" t="n"/>
      <c r="C13" s="8" t="n"/>
      <c r="D13" s="8" t="n"/>
      <c r="E13" s="8" t="n"/>
      <c r="F13" s="8" t="n"/>
      <c r="G13" s="71" t="n"/>
      <c r="H13" s="39">
        <f>IF(OR(F13="",G13=""),"",F13*G13)</f>
        <v/>
      </c>
      <c r="I13" s="8" t="n"/>
      <c r="J13" s="8" t="n"/>
      <c r="K13" s="8" t="n"/>
    </row>
    <row r="14" ht="18" customHeight="1" s="109">
      <c r="A14" s="12">
        <f>IF(E14="","",IFERROR(VLOOKUP(E14,'📋 Catálogo'!$B$7:$V$41,21,0),""))</f>
        <v/>
      </c>
      <c r="B14" s="72" t="n"/>
      <c r="C14" s="12" t="n"/>
      <c r="D14" s="12" t="n"/>
      <c r="E14" s="12" t="n"/>
      <c r="F14" s="12" t="n"/>
      <c r="G14" s="73" t="n"/>
      <c r="H14" s="39">
        <f>IF(OR(F14="",G14=""),"",F14*G14)</f>
        <v/>
      </c>
      <c r="I14" s="12" t="n"/>
      <c r="J14" s="12" t="n"/>
      <c r="K14" s="12" t="n"/>
    </row>
    <row r="15" ht="18" customHeight="1" s="109">
      <c r="A15" s="8">
        <f>IF(E15="","",IFERROR(VLOOKUP(E15,'📋 Catálogo'!$B$7:$V$41,21,0),""))</f>
        <v/>
      </c>
      <c r="B15" s="70" t="n"/>
      <c r="C15" s="8" t="n"/>
      <c r="D15" s="8" t="n"/>
      <c r="E15" s="8" t="n"/>
      <c r="F15" s="8" t="n"/>
      <c r="G15" s="71" t="n"/>
      <c r="H15" s="39">
        <f>IF(OR(F15="",G15=""),"",F15*G15)</f>
        <v/>
      </c>
      <c r="I15" s="8" t="n"/>
      <c r="J15" s="8" t="n"/>
      <c r="K15" s="8" t="n"/>
    </row>
    <row r="16" ht="18" customHeight="1" s="109">
      <c r="A16" s="12">
        <f>IF(E16="","",IFERROR(VLOOKUP(E16,'📋 Catálogo'!$B$7:$V$41,21,0),""))</f>
        <v/>
      </c>
      <c r="B16" s="72" t="n"/>
      <c r="C16" s="12" t="n"/>
      <c r="D16" s="12" t="n"/>
      <c r="E16" s="12" t="n"/>
      <c r="F16" s="12" t="n"/>
      <c r="G16" s="73" t="n"/>
      <c r="H16" s="39">
        <f>IF(OR(F16="",G16=""),"",F16*G16)</f>
        <v/>
      </c>
      <c r="I16" s="12" t="n"/>
      <c r="J16" s="12" t="n"/>
      <c r="K16" s="12" t="n"/>
    </row>
    <row r="17" ht="18" customHeight="1" s="109">
      <c r="A17" s="8">
        <f>IF(E17="","",IFERROR(VLOOKUP(E17,'📋 Catálogo'!$B$7:$V$41,21,0),""))</f>
        <v/>
      </c>
      <c r="B17" s="70" t="n"/>
      <c r="C17" s="8" t="n"/>
      <c r="D17" s="8" t="n"/>
      <c r="E17" s="8" t="n"/>
      <c r="F17" s="8" t="n"/>
      <c r="G17" s="71" t="n"/>
      <c r="H17" s="39">
        <f>IF(OR(F17="",G17=""),"",F17*G17)</f>
        <v/>
      </c>
      <c r="I17" s="8" t="n"/>
      <c r="J17" s="8" t="n"/>
      <c r="K17" s="8" t="n"/>
    </row>
    <row r="18" ht="18" customHeight="1" s="109">
      <c r="A18" s="12">
        <f>IF(E18="","",IFERROR(VLOOKUP(E18,'📋 Catálogo'!$B$7:$V$41,21,0),""))</f>
        <v/>
      </c>
      <c r="B18" s="72" t="n"/>
      <c r="C18" s="12" t="n"/>
      <c r="D18" s="12" t="n"/>
      <c r="E18" s="12" t="n"/>
      <c r="F18" s="12" t="n"/>
      <c r="G18" s="73" t="n"/>
      <c r="H18" s="39">
        <f>IF(OR(F18="",G18=""),"",F18*G18)</f>
        <v/>
      </c>
      <c r="I18" s="12" t="n"/>
      <c r="J18" s="12" t="n"/>
      <c r="K18" s="12" t="n"/>
    </row>
    <row r="19" ht="18" customHeight="1" s="109">
      <c r="A19" s="8">
        <f>IF(E19="","",IFERROR(VLOOKUP(E19,'📋 Catálogo'!$B$7:$V$41,21,0),""))</f>
        <v/>
      </c>
      <c r="B19" s="70" t="n"/>
      <c r="C19" s="8" t="n"/>
      <c r="D19" s="8" t="n"/>
      <c r="E19" s="8" t="n"/>
      <c r="F19" s="8" t="n"/>
      <c r="G19" s="71" t="n"/>
      <c r="H19" s="39">
        <f>IF(OR(F19="",G19=""),"",F19*G19)</f>
        <v/>
      </c>
      <c r="I19" s="8" t="n"/>
      <c r="J19" s="8" t="n"/>
      <c r="K19" s="8" t="n"/>
    </row>
    <row r="20" ht="18" customHeight="1" s="109">
      <c r="A20" s="12">
        <f>IF(E20="","",IFERROR(VLOOKUP(E20,'📋 Catálogo'!$B$7:$V$41,21,0),""))</f>
        <v/>
      </c>
      <c r="B20" s="72" t="n"/>
      <c r="C20" s="12" t="n"/>
      <c r="D20" s="12" t="n"/>
      <c r="E20" s="12" t="n"/>
      <c r="F20" s="12" t="n"/>
      <c r="G20" s="73" t="n"/>
      <c r="H20" s="39">
        <f>IF(OR(F20="",G20=""),"",F20*G20)</f>
        <v/>
      </c>
      <c r="I20" s="12" t="n"/>
      <c r="J20" s="12" t="n"/>
      <c r="K20" s="12" t="n"/>
    </row>
    <row r="21" ht="18" customHeight="1" s="109">
      <c r="A21" s="8">
        <f>IF(E21="","",IFERROR(VLOOKUP(E21,'📋 Catálogo'!$B$7:$V$41,21,0),""))</f>
        <v/>
      </c>
      <c r="B21" s="70" t="n"/>
      <c r="C21" s="8" t="n"/>
      <c r="D21" s="8" t="n"/>
      <c r="E21" s="8" t="n"/>
      <c r="F21" s="8" t="n"/>
      <c r="G21" s="71" t="n"/>
      <c r="H21" s="39">
        <f>IF(OR(F21="",G21=""),"",F21*G21)</f>
        <v/>
      </c>
      <c r="I21" s="8" t="n"/>
      <c r="J21" s="8" t="n"/>
      <c r="K21" s="8" t="n"/>
    </row>
    <row r="22" ht="18" customHeight="1" s="109">
      <c r="A22" s="12">
        <f>IF(E22="","",IFERROR(VLOOKUP(E22,'📋 Catálogo'!$B$7:$V$41,21,0),""))</f>
        <v/>
      </c>
      <c r="B22" s="72" t="n"/>
      <c r="C22" s="12" t="n"/>
      <c r="D22" s="12" t="n"/>
      <c r="E22" s="12" t="n"/>
      <c r="F22" s="12" t="n"/>
      <c r="G22" s="73" t="n"/>
      <c r="H22" s="39">
        <f>IF(OR(F22="",G22=""),"",F22*G22)</f>
        <v/>
      </c>
      <c r="I22" s="12" t="n"/>
      <c r="J22" s="12" t="n"/>
      <c r="K22" s="12" t="n"/>
    </row>
    <row r="23" ht="18" customHeight="1" s="109">
      <c r="A23" s="8">
        <f>IF(E23="","",IFERROR(VLOOKUP(E23,'📋 Catálogo'!$B$7:$V$41,21,0),""))</f>
        <v/>
      </c>
      <c r="B23" s="70" t="n"/>
      <c r="C23" s="8" t="n"/>
      <c r="D23" s="8" t="n"/>
      <c r="E23" s="8" t="n"/>
      <c r="F23" s="8" t="n"/>
      <c r="G23" s="71" t="n"/>
      <c r="H23" s="39">
        <f>IF(OR(F23="",G23=""),"",F23*G23)</f>
        <v/>
      </c>
      <c r="I23" s="8" t="n"/>
      <c r="J23" s="8" t="n"/>
      <c r="K23" s="8" t="n"/>
    </row>
    <row r="24" ht="18" customHeight="1" s="109">
      <c r="A24" s="12">
        <f>IF(E24="","",IFERROR(VLOOKUP(E24,'📋 Catálogo'!$B$7:$V$41,21,0),""))</f>
        <v/>
      </c>
      <c r="B24" s="72" t="n"/>
      <c r="C24" s="12" t="n"/>
      <c r="D24" s="12" t="n"/>
      <c r="E24" s="12" t="n"/>
      <c r="F24" s="12" t="n"/>
      <c r="G24" s="73" t="n"/>
      <c r="H24" s="39">
        <f>IF(OR(F24="",G24=""),"",F24*G24)</f>
        <v/>
      </c>
      <c r="I24" s="12" t="n"/>
      <c r="J24" s="12" t="n"/>
      <c r="K24" s="12" t="n"/>
    </row>
    <row r="25" ht="18" customHeight="1" s="109">
      <c r="A25" s="8">
        <f>IF(E25="","",IFERROR(VLOOKUP(E25,'📋 Catálogo'!$B$7:$V$41,21,0),""))</f>
        <v/>
      </c>
      <c r="B25" s="70" t="n"/>
      <c r="C25" s="8" t="n"/>
      <c r="D25" s="8" t="n"/>
      <c r="E25" s="8" t="n"/>
      <c r="F25" s="8" t="n"/>
      <c r="G25" s="71" t="n"/>
      <c r="H25" s="39">
        <f>IF(OR(F25="",G25=""),"",F25*G25)</f>
        <v/>
      </c>
      <c r="I25" s="8" t="n"/>
      <c r="J25" s="8" t="n"/>
      <c r="K25" s="8" t="n"/>
    </row>
    <row r="26" ht="18" customHeight="1" s="109">
      <c r="A26" s="12">
        <f>IF(E26="","",IFERROR(VLOOKUP(E26,'📋 Catálogo'!$B$7:$V$41,21,0),""))</f>
        <v/>
      </c>
      <c r="B26" s="72" t="n"/>
      <c r="C26" s="12" t="n"/>
      <c r="D26" s="12" t="n"/>
      <c r="E26" s="12" t="n"/>
      <c r="F26" s="12" t="n"/>
      <c r="G26" s="73" t="n"/>
      <c r="H26" s="39">
        <f>IF(OR(F26="",G26=""),"",F26*G26)</f>
        <v/>
      </c>
      <c r="I26" s="12" t="n"/>
      <c r="J26" s="12" t="n"/>
      <c r="K26" s="12" t="n"/>
    </row>
    <row r="27" ht="18" customHeight="1" s="109">
      <c r="A27" s="8">
        <f>IF(E27="","",IFERROR(VLOOKUP(E27,'📋 Catálogo'!$B$7:$V$41,21,0),""))</f>
        <v/>
      </c>
      <c r="B27" s="70" t="n"/>
      <c r="C27" s="8" t="n"/>
      <c r="D27" s="8" t="n"/>
      <c r="E27" s="8" t="n"/>
      <c r="F27" s="8" t="n"/>
      <c r="G27" s="71" t="n"/>
      <c r="H27" s="39">
        <f>IF(OR(F27="",G27=""),"",F27*G27)</f>
        <v/>
      </c>
      <c r="I27" s="8" t="n"/>
      <c r="J27" s="8" t="n"/>
      <c r="K27" s="8" t="n"/>
    </row>
    <row r="28" ht="18" customHeight="1" s="109">
      <c r="A28" s="12">
        <f>IF(E28="","",IFERROR(VLOOKUP(E28,'📋 Catálogo'!$B$7:$V$41,21,0),""))</f>
        <v/>
      </c>
      <c r="B28" s="72" t="n"/>
      <c r="C28" s="12" t="n"/>
      <c r="D28" s="12" t="n"/>
      <c r="E28" s="12" t="n"/>
      <c r="F28" s="12" t="n"/>
      <c r="G28" s="73" t="n"/>
      <c r="H28" s="39">
        <f>IF(OR(F28="",G28=""),"",F28*G28)</f>
        <v/>
      </c>
      <c r="I28" s="12" t="n"/>
      <c r="J28" s="12" t="n"/>
      <c r="K28" s="12" t="n"/>
    </row>
    <row r="29" ht="18" customHeight="1" s="109">
      <c r="A29" s="8">
        <f>IF(E29="","",IFERROR(VLOOKUP(E29,'📋 Catálogo'!$B$7:$V$41,21,0),""))</f>
        <v/>
      </c>
      <c r="B29" s="70" t="n"/>
      <c r="C29" s="8" t="n"/>
      <c r="D29" s="8" t="n"/>
      <c r="E29" s="8" t="n"/>
      <c r="F29" s="8" t="n"/>
      <c r="G29" s="71" t="n"/>
      <c r="H29" s="39">
        <f>IF(OR(F29="",G29=""),"",F29*G29)</f>
        <v/>
      </c>
      <c r="I29" s="8" t="n"/>
      <c r="J29" s="8" t="n"/>
      <c r="K29" s="8" t="n"/>
    </row>
    <row r="30" ht="18" customHeight="1" s="109">
      <c r="A30" s="12">
        <f>IF(E30="","",IFERROR(VLOOKUP(E30,'📋 Catálogo'!$B$7:$V$41,21,0),""))</f>
        <v/>
      </c>
      <c r="B30" s="72" t="n"/>
      <c r="C30" s="12" t="n"/>
      <c r="D30" s="12" t="n"/>
      <c r="E30" s="12" t="n"/>
      <c r="F30" s="12" t="n"/>
      <c r="G30" s="73" t="n"/>
      <c r="H30" s="39">
        <f>IF(OR(F30="",G30=""),"",F30*G30)</f>
        <v/>
      </c>
      <c r="I30" s="12" t="n"/>
      <c r="J30" s="12" t="n"/>
      <c r="K30" s="12" t="n"/>
    </row>
    <row r="31" ht="18" customHeight="1" s="109">
      <c r="A31" s="8">
        <f>IF(E31="","",IFERROR(VLOOKUP(E31,'📋 Catálogo'!$B$7:$V$41,21,0),""))</f>
        <v/>
      </c>
      <c r="B31" s="70" t="n"/>
      <c r="C31" s="8" t="n"/>
      <c r="D31" s="8" t="n"/>
      <c r="E31" s="8" t="n"/>
      <c r="F31" s="8" t="n"/>
      <c r="G31" s="71" t="n"/>
      <c r="H31" s="39">
        <f>IF(OR(F31="",G31=""),"",F31*G31)</f>
        <v/>
      </c>
      <c r="I31" s="8" t="n"/>
      <c r="J31" s="8" t="n"/>
      <c r="K31" s="8" t="n"/>
    </row>
    <row r="32" ht="18" customHeight="1" s="109">
      <c r="A32" s="12">
        <f>IF(E32="","",IFERROR(VLOOKUP(E32,'📋 Catálogo'!$B$7:$V$41,21,0),""))</f>
        <v/>
      </c>
      <c r="B32" s="72" t="n"/>
      <c r="C32" s="12" t="n"/>
      <c r="D32" s="12" t="n"/>
      <c r="E32" s="12" t="n"/>
      <c r="F32" s="12" t="n"/>
      <c r="G32" s="73" t="n"/>
      <c r="H32" s="39">
        <f>IF(OR(F32="",G32=""),"",F32*G32)</f>
        <v/>
      </c>
      <c r="I32" s="12" t="n"/>
      <c r="J32" s="12" t="n"/>
      <c r="K32" s="12" t="n"/>
    </row>
    <row r="33" ht="18" customHeight="1" s="109">
      <c r="A33" s="8">
        <f>IF(E33="","",IFERROR(VLOOKUP(E33,'📋 Catálogo'!$B$7:$V$41,21,0),""))</f>
        <v/>
      </c>
      <c r="B33" s="70" t="n"/>
      <c r="C33" s="8" t="n"/>
      <c r="D33" s="8" t="n"/>
      <c r="E33" s="8" t="n"/>
      <c r="F33" s="8" t="n"/>
      <c r="G33" s="71" t="n"/>
      <c r="H33" s="39">
        <f>IF(OR(F33="",G33=""),"",F33*G33)</f>
        <v/>
      </c>
      <c r="I33" s="8" t="n"/>
      <c r="J33" s="8" t="n"/>
      <c r="K33" s="8" t="n"/>
    </row>
    <row r="34" ht="18" customHeight="1" s="109">
      <c r="A34" s="12">
        <f>IF(E34="","",IFERROR(VLOOKUP(E34,'📋 Catálogo'!$B$7:$V$41,21,0),""))</f>
        <v/>
      </c>
      <c r="B34" s="72" t="n"/>
      <c r="C34" s="12" t="n"/>
      <c r="D34" s="12" t="n"/>
      <c r="E34" s="12" t="n"/>
      <c r="F34" s="12" t="n"/>
      <c r="G34" s="73" t="n"/>
      <c r="H34" s="39">
        <f>IF(OR(F34="",G34=""),"",F34*G34)</f>
        <v/>
      </c>
      <c r="I34" s="12" t="n"/>
      <c r="J34" s="12" t="n"/>
      <c r="K34" s="12" t="n"/>
    </row>
    <row r="35" ht="18" customHeight="1" s="109">
      <c r="A35" s="8">
        <f>IF(E35="","",IFERROR(VLOOKUP(E35,'📋 Catálogo'!$B$7:$V$41,21,0),""))</f>
        <v/>
      </c>
      <c r="B35" s="70" t="n"/>
      <c r="C35" s="8" t="n"/>
      <c r="D35" s="8" t="n"/>
      <c r="E35" s="8" t="n"/>
      <c r="F35" s="8" t="n"/>
      <c r="G35" s="71" t="n"/>
      <c r="H35" s="39">
        <f>IF(OR(F35="",G35=""),"",F35*G35)</f>
        <v/>
      </c>
      <c r="I35" s="8" t="n"/>
      <c r="J35" s="8" t="n"/>
      <c r="K35" s="8" t="n"/>
    </row>
    <row r="36" ht="18" customHeight="1" s="109">
      <c r="A36" s="12">
        <f>IF(E36="","",IFERROR(VLOOKUP(E36,'📋 Catálogo'!$B$7:$V$41,21,0),""))</f>
        <v/>
      </c>
      <c r="B36" s="72" t="n"/>
      <c r="C36" s="12" t="n"/>
      <c r="D36" s="12" t="n"/>
      <c r="E36" s="12" t="n"/>
      <c r="F36" s="12" t="n"/>
      <c r="G36" s="73" t="n"/>
      <c r="H36" s="39">
        <f>IF(OR(F36="",G36=""),"",F36*G36)</f>
        <v/>
      </c>
      <c r="I36" s="12" t="n"/>
      <c r="J36" s="12" t="n"/>
      <c r="K36" s="12" t="n"/>
    </row>
    <row r="37" ht="18" customHeight="1" s="109">
      <c r="A37" s="8">
        <f>IF(E37="","",IFERROR(VLOOKUP(E37,'📋 Catálogo'!$B$7:$V$41,21,0),""))</f>
        <v/>
      </c>
      <c r="B37" s="70" t="n"/>
      <c r="C37" s="8" t="n"/>
      <c r="D37" s="8" t="n"/>
      <c r="E37" s="8" t="n"/>
      <c r="F37" s="8" t="n"/>
      <c r="G37" s="71" t="n"/>
      <c r="H37" s="39">
        <f>IF(OR(F37="",G37=""),"",F37*G37)</f>
        <v/>
      </c>
      <c r="I37" s="8" t="n"/>
      <c r="J37" s="8" t="n"/>
      <c r="K37" s="8" t="n"/>
    </row>
    <row r="38" ht="18" customHeight="1" s="109">
      <c r="A38" s="12">
        <f>IF(E38="","",IFERROR(VLOOKUP(E38,'📋 Catálogo'!$B$7:$V$41,21,0),""))</f>
        <v/>
      </c>
      <c r="B38" s="72" t="n"/>
      <c r="C38" s="12" t="n"/>
      <c r="D38" s="12" t="n"/>
      <c r="E38" s="12" t="n"/>
      <c r="F38" s="12" t="n"/>
      <c r="G38" s="73" t="n"/>
      <c r="H38" s="39">
        <f>IF(OR(F38="",G38=""),"",F38*G38)</f>
        <v/>
      </c>
      <c r="I38" s="12" t="n"/>
      <c r="J38" s="12" t="n"/>
      <c r="K38" s="12" t="n"/>
    </row>
    <row r="39" ht="18" customHeight="1" s="109">
      <c r="A39" s="8">
        <f>IF(E39="","",IFERROR(VLOOKUP(E39,'📋 Catálogo'!$B$7:$V$41,21,0),""))</f>
        <v/>
      </c>
      <c r="B39" s="70" t="n"/>
      <c r="C39" s="8" t="n"/>
      <c r="D39" s="8" t="n"/>
      <c r="E39" s="8" t="n"/>
      <c r="F39" s="8" t="n"/>
      <c r="G39" s="71" t="n"/>
      <c r="H39" s="39">
        <f>IF(OR(F39="",G39=""),"",F39*G39)</f>
        <v/>
      </c>
      <c r="I39" s="8" t="n"/>
      <c r="J39" s="8" t="n"/>
      <c r="K39" s="8" t="n"/>
    </row>
    <row r="40" ht="18" customHeight="1" s="109">
      <c r="A40" s="12">
        <f>IF(E40="","",IFERROR(VLOOKUP(E40,'📋 Catálogo'!$B$7:$V$41,21,0),""))</f>
        <v/>
      </c>
      <c r="B40" s="72" t="n"/>
      <c r="C40" s="12" t="n"/>
      <c r="D40" s="12" t="n"/>
      <c r="E40" s="12" t="n"/>
      <c r="F40" s="12" t="n"/>
      <c r="G40" s="73" t="n"/>
      <c r="H40" s="39">
        <f>IF(OR(F40="",G40=""),"",F40*G40)</f>
        <v/>
      </c>
      <c r="I40" s="12" t="n"/>
      <c r="J40" s="12" t="n"/>
      <c r="K40" s="12" t="n"/>
    </row>
    <row r="41" ht="18" customHeight="1" s="109">
      <c r="A41" s="8">
        <f>IF(E41="","",IFERROR(VLOOKUP(E41,'📋 Catálogo'!$B$7:$V$41,21,0),""))</f>
        <v/>
      </c>
      <c r="B41" s="70" t="n"/>
      <c r="C41" s="8" t="n"/>
      <c r="D41" s="8" t="n"/>
      <c r="E41" s="8" t="n"/>
      <c r="F41" s="8" t="n"/>
      <c r="G41" s="71" t="n"/>
      <c r="H41" s="39">
        <f>IF(OR(F41="",G41=""),"",F41*G41)</f>
        <v/>
      </c>
      <c r="I41" s="8" t="n"/>
      <c r="J41" s="8" t="n"/>
      <c r="K41" s="8" t="n"/>
    </row>
    <row r="42" ht="18" customHeight="1" s="109">
      <c r="A42" s="12">
        <f>IF(E42="","",IFERROR(VLOOKUP(E42,'📋 Catálogo'!$B$7:$V$41,21,0),""))</f>
        <v/>
      </c>
      <c r="B42" s="72" t="n"/>
      <c r="C42" s="12" t="n"/>
      <c r="D42" s="12" t="n"/>
      <c r="E42" s="12" t="n"/>
      <c r="F42" s="12" t="n"/>
      <c r="G42" s="73" t="n"/>
      <c r="H42" s="39">
        <f>IF(OR(F42="",G42=""),"",F42*G42)</f>
        <v/>
      </c>
      <c r="I42" s="12" t="n"/>
      <c r="J42" s="12" t="n"/>
      <c r="K42" s="12" t="n"/>
    </row>
    <row r="43" ht="18" customHeight="1" s="109">
      <c r="A43" s="8">
        <f>IF(E43="","",IFERROR(VLOOKUP(E43,'📋 Catálogo'!$B$7:$V$41,21,0),""))</f>
        <v/>
      </c>
      <c r="B43" s="70" t="n"/>
      <c r="C43" s="8" t="n"/>
      <c r="D43" s="8" t="n"/>
      <c r="E43" s="8" t="n"/>
      <c r="F43" s="8" t="n"/>
      <c r="G43" s="71" t="n"/>
      <c r="H43" s="39">
        <f>IF(OR(F43="",G43=""),"",F43*G43)</f>
        <v/>
      </c>
      <c r="I43" s="8" t="n"/>
      <c r="J43" s="8" t="n"/>
      <c r="K43" s="8" t="n"/>
    </row>
    <row r="44" ht="18" customHeight="1" s="109">
      <c r="A44" s="12">
        <f>IF(E44="","",IFERROR(VLOOKUP(E44,'📋 Catálogo'!$B$7:$V$41,21,0),""))</f>
        <v/>
      </c>
      <c r="B44" s="72" t="n"/>
      <c r="C44" s="12" t="n"/>
      <c r="D44" s="12" t="n"/>
      <c r="E44" s="12" t="n"/>
      <c r="F44" s="12" t="n"/>
      <c r="G44" s="73" t="n"/>
      <c r="H44" s="39">
        <f>IF(OR(F44="",G44=""),"",F44*G44)</f>
        <v/>
      </c>
      <c r="I44" s="12" t="n"/>
      <c r="J44" s="12" t="n"/>
      <c r="K44" s="12" t="n"/>
    </row>
    <row r="45" ht="18" customHeight="1" s="109">
      <c r="A45" s="8">
        <f>IF(E45="","",IFERROR(VLOOKUP(E45,'📋 Catálogo'!$B$7:$V$41,21,0),""))</f>
        <v/>
      </c>
      <c r="B45" s="70" t="n"/>
      <c r="C45" s="8" t="n"/>
      <c r="D45" s="8" t="n"/>
      <c r="E45" s="8" t="n"/>
      <c r="F45" s="8" t="n"/>
      <c r="G45" s="71" t="n"/>
      <c r="H45" s="39">
        <f>IF(OR(F45="",G45=""),"",F45*G45)</f>
        <v/>
      </c>
      <c r="I45" s="8" t="n"/>
      <c r="J45" s="8" t="n"/>
      <c r="K45" s="8" t="n"/>
    </row>
    <row r="46" ht="18" customHeight="1" s="109">
      <c r="A46" s="12">
        <f>IF(E46="","",IFERROR(VLOOKUP(E46,'📋 Catálogo'!$B$7:$V$41,21,0),""))</f>
        <v/>
      </c>
      <c r="B46" s="72" t="n"/>
      <c r="C46" s="12" t="n"/>
      <c r="D46" s="12" t="n"/>
      <c r="E46" s="12" t="n"/>
      <c r="F46" s="12" t="n"/>
      <c r="G46" s="73" t="n"/>
      <c r="H46" s="39">
        <f>IF(OR(F46="",G46=""),"",F46*G46)</f>
        <v/>
      </c>
      <c r="I46" s="12" t="n"/>
      <c r="J46" s="12" t="n"/>
      <c r="K46" s="12" t="n"/>
    </row>
    <row r="47" ht="18" customHeight="1" s="109">
      <c r="A47" s="8">
        <f>IF(E47="","",IFERROR(VLOOKUP(E47,'📋 Catálogo'!$B$7:$V$41,21,0),""))</f>
        <v/>
      </c>
      <c r="B47" s="70" t="n"/>
      <c r="C47" s="8" t="n"/>
      <c r="D47" s="8" t="n"/>
      <c r="E47" s="8" t="n"/>
      <c r="F47" s="8" t="n"/>
      <c r="G47" s="71" t="n"/>
      <c r="H47" s="39">
        <f>IF(OR(F47="",G47=""),"",F47*G47)</f>
        <v/>
      </c>
      <c r="I47" s="8" t="n"/>
      <c r="J47" s="8" t="n"/>
      <c r="K47" s="8" t="n"/>
    </row>
    <row r="48" ht="18" customHeight="1" s="109">
      <c r="A48" s="12">
        <f>IF(E48="","",IFERROR(VLOOKUP(E48,'📋 Catálogo'!$B$7:$V$41,21,0),""))</f>
        <v/>
      </c>
      <c r="B48" s="72" t="n"/>
      <c r="C48" s="12" t="n"/>
      <c r="D48" s="12" t="n"/>
      <c r="E48" s="12" t="n"/>
      <c r="F48" s="12" t="n"/>
      <c r="G48" s="73" t="n"/>
      <c r="H48" s="39">
        <f>IF(OR(F48="",G48=""),"",F48*G48)</f>
        <v/>
      </c>
      <c r="I48" s="12" t="n"/>
      <c r="J48" s="12" t="n"/>
      <c r="K48" s="12" t="n"/>
    </row>
    <row r="49" ht="18" customHeight="1" s="109">
      <c r="A49" s="8">
        <f>IF(E49="","",IFERROR(VLOOKUP(E49,'📋 Catálogo'!$B$7:$V$41,21,0),""))</f>
        <v/>
      </c>
      <c r="B49" s="70" t="n"/>
      <c r="C49" s="8" t="n"/>
      <c r="D49" s="8" t="n"/>
      <c r="E49" s="8" t="n"/>
      <c r="F49" s="8" t="n"/>
      <c r="G49" s="71" t="n"/>
      <c r="H49" s="39">
        <f>IF(OR(F49="",G49=""),"",F49*G49)</f>
        <v/>
      </c>
      <c r="I49" s="8" t="n"/>
      <c r="J49" s="8" t="n"/>
      <c r="K49" s="8" t="n"/>
    </row>
    <row r="50" ht="18" customHeight="1" s="109">
      <c r="A50" s="12">
        <f>IF(E50="","",IFERROR(VLOOKUP(E50,'📋 Catálogo'!$B$7:$V$41,21,0),""))</f>
        <v/>
      </c>
      <c r="B50" s="72" t="n"/>
      <c r="C50" s="12" t="n"/>
      <c r="D50" s="12" t="n"/>
      <c r="E50" s="12" t="n"/>
      <c r="F50" s="12" t="n"/>
      <c r="G50" s="73" t="n"/>
      <c r="H50" s="39">
        <f>IF(OR(F50="",G50=""),"",F50*G50)</f>
        <v/>
      </c>
      <c r="I50" s="12" t="n"/>
      <c r="J50" s="12" t="n"/>
      <c r="K50" s="12" t="n"/>
    </row>
    <row r="51" ht="18" customHeight="1" s="109">
      <c r="A51" s="8">
        <f>IF(E51="","",IFERROR(VLOOKUP(E51,'📋 Catálogo'!$B$7:$V$41,21,0),""))</f>
        <v/>
      </c>
      <c r="B51" s="70" t="n"/>
      <c r="C51" s="8" t="n"/>
      <c r="D51" s="8" t="n"/>
      <c r="E51" s="8" t="n"/>
      <c r="F51" s="8" t="n"/>
      <c r="G51" s="71" t="n"/>
      <c r="H51" s="39">
        <f>IF(OR(F51="",G51=""),"",F51*G51)</f>
        <v/>
      </c>
      <c r="I51" s="8" t="n"/>
      <c r="J51" s="8" t="n"/>
      <c r="K51" s="8" t="n"/>
    </row>
    <row r="52" ht="18" customHeight="1" s="109">
      <c r="A52" s="12">
        <f>IF(E52="","",IFERROR(VLOOKUP(E52,'📋 Catálogo'!$B$7:$V$41,21,0),""))</f>
        <v/>
      </c>
      <c r="B52" s="72" t="n"/>
      <c r="C52" s="12" t="n"/>
      <c r="D52" s="12" t="n"/>
      <c r="E52" s="12" t="n"/>
      <c r="F52" s="12" t="n"/>
      <c r="G52" s="73" t="n"/>
      <c r="H52" s="39">
        <f>IF(OR(F52="",G52=""),"",F52*G52)</f>
        <v/>
      </c>
      <c r="I52" s="12" t="n"/>
      <c r="J52" s="12" t="n"/>
      <c r="K52" s="12" t="n"/>
    </row>
    <row r="53" ht="18" customHeight="1" s="109">
      <c r="A53" s="8">
        <f>IF(E53="","",IFERROR(VLOOKUP(E53,'📋 Catálogo'!$B$7:$V$41,21,0),""))</f>
        <v/>
      </c>
      <c r="B53" s="70" t="n"/>
      <c r="C53" s="8" t="n"/>
      <c r="D53" s="8" t="n"/>
      <c r="E53" s="8" t="n"/>
      <c r="F53" s="8" t="n"/>
      <c r="G53" s="71" t="n"/>
      <c r="H53" s="39">
        <f>IF(OR(F53="",G53=""),"",F53*G53)</f>
        <v/>
      </c>
      <c r="I53" s="8" t="n"/>
      <c r="J53" s="8" t="n"/>
      <c r="K53" s="8" t="n"/>
    </row>
    <row r="54" ht="18" customHeight="1" s="109">
      <c r="A54" s="12">
        <f>IF(E54="","",IFERROR(VLOOKUP(E54,'📋 Catálogo'!$B$7:$V$41,21,0),""))</f>
        <v/>
      </c>
      <c r="B54" s="72" t="n"/>
      <c r="C54" s="12" t="n"/>
      <c r="D54" s="12" t="n"/>
      <c r="E54" s="12" t="n"/>
      <c r="F54" s="12" t="n"/>
      <c r="G54" s="73" t="n"/>
      <c r="H54" s="39">
        <f>IF(OR(F54="",G54=""),"",F54*G54)</f>
        <v/>
      </c>
      <c r="I54" s="12" t="n"/>
      <c r="J54" s="12" t="n"/>
      <c r="K54" s="12" t="n"/>
    </row>
    <row r="55" ht="18" customHeight="1" s="109">
      <c r="A55" s="8">
        <f>IF(E55="","",IFERROR(VLOOKUP(E55,'📋 Catálogo'!$B$7:$V$41,21,0),""))</f>
        <v/>
      </c>
      <c r="B55" s="70" t="n"/>
      <c r="C55" s="8" t="n"/>
      <c r="D55" s="8" t="n"/>
      <c r="E55" s="8" t="n"/>
      <c r="F55" s="8" t="n"/>
      <c r="G55" s="71" t="n"/>
      <c r="H55" s="39">
        <f>IF(OR(F55="",G55=""),"",F55*G55)</f>
        <v/>
      </c>
      <c r="I55" s="8" t="n"/>
      <c r="J55" s="8" t="n"/>
      <c r="K55" s="8" t="n"/>
    </row>
    <row r="56" ht="18" customHeight="1" s="109">
      <c r="A56" s="12">
        <f>IF(E56="","",IFERROR(VLOOKUP(E56,'📋 Catálogo'!$B$7:$V$41,21,0),""))</f>
        <v/>
      </c>
      <c r="B56" s="72" t="n"/>
      <c r="C56" s="12" t="n"/>
      <c r="D56" s="12" t="n"/>
      <c r="E56" s="12" t="n"/>
      <c r="F56" s="12" t="n"/>
      <c r="G56" s="73" t="n"/>
      <c r="H56" s="39">
        <f>IF(OR(F56="",G56=""),"",F56*G56)</f>
        <v/>
      </c>
      <c r="I56" s="12" t="n"/>
      <c r="J56" s="12" t="n"/>
      <c r="K56" s="12" t="n"/>
    </row>
    <row r="57" ht="18" customHeight="1" s="109">
      <c r="A57" s="8">
        <f>IF(E57="","",IFERROR(VLOOKUP(E57,'📋 Catálogo'!$B$7:$V$41,21,0),""))</f>
        <v/>
      </c>
      <c r="B57" s="70" t="n"/>
      <c r="C57" s="8" t="n"/>
      <c r="D57" s="8" t="n"/>
      <c r="E57" s="8" t="n"/>
      <c r="F57" s="8" t="n"/>
      <c r="G57" s="71" t="n"/>
      <c r="H57" s="39">
        <f>IF(OR(F57="",G57=""),"",F57*G57)</f>
        <v/>
      </c>
      <c r="I57" s="8" t="n"/>
      <c r="J57" s="8" t="n"/>
      <c r="K57" s="8" t="n"/>
    </row>
    <row r="58" ht="18" customHeight="1" s="109">
      <c r="A58" s="12">
        <f>IF(E58="","",IFERROR(VLOOKUP(E58,'📋 Catálogo'!$B$7:$V$41,21,0),""))</f>
        <v/>
      </c>
      <c r="B58" s="72" t="n"/>
      <c r="C58" s="12" t="n"/>
      <c r="D58" s="12" t="n"/>
      <c r="E58" s="12" t="n"/>
      <c r="F58" s="12" t="n"/>
      <c r="G58" s="73" t="n"/>
      <c r="H58" s="39">
        <f>IF(OR(F58="",G58=""),"",F58*G58)</f>
        <v/>
      </c>
      <c r="I58" s="12" t="n"/>
      <c r="J58" s="12" t="n"/>
      <c r="K58" s="12" t="n"/>
    </row>
    <row r="59" ht="18" customHeight="1" s="109">
      <c r="A59" s="8">
        <f>IF(E59="","",IFERROR(VLOOKUP(E59,'📋 Catálogo'!$B$7:$V$41,21,0),""))</f>
        <v/>
      </c>
      <c r="B59" s="70" t="n"/>
      <c r="C59" s="8" t="n"/>
      <c r="D59" s="8" t="n"/>
      <c r="E59" s="8" t="n"/>
      <c r="F59" s="8" t="n"/>
      <c r="G59" s="71" t="n"/>
      <c r="H59" s="39">
        <f>IF(OR(F59="",G59=""),"",F59*G59)</f>
        <v/>
      </c>
      <c r="I59" s="8" t="n"/>
      <c r="J59" s="8" t="n"/>
      <c r="K59" s="8" t="n"/>
    </row>
    <row r="60" ht="18" customHeight="1" s="109">
      <c r="A60" s="12">
        <f>IF(E60="","",IFERROR(VLOOKUP(E60,'📋 Catálogo'!$B$7:$V$41,21,0),""))</f>
        <v/>
      </c>
      <c r="B60" s="72" t="n"/>
      <c r="C60" s="12" t="n"/>
      <c r="D60" s="12" t="n"/>
      <c r="E60" s="12" t="n"/>
      <c r="F60" s="12" t="n"/>
      <c r="G60" s="73" t="n"/>
      <c r="H60" s="39">
        <f>IF(OR(F60="",G60=""),"",F60*G60)</f>
        <v/>
      </c>
      <c r="I60" s="12" t="n"/>
      <c r="J60" s="12" t="n"/>
      <c r="K60" s="12" t="n"/>
    </row>
    <row r="61" ht="18" customHeight="1" s="109">
      <c r="A61" s="8">
        <f>IF(E61="","",IFERROR(VLOOKUP(E61,'📋 Catálogo'!$B$7:$V$41,21,0),""))</f>
        <v/>
      </c>
      <c r="B61" s="70" t="n"/>
      <c r="C61" s="8" t="n"/>
      <c r="D61" s="8" t="n"/>
      <c r="E61" s="8" t="n"/>
      <c r="F61" s="8" t="n"/>
      <c r="G61" s="71" t="n"/>
      <c r="H61" s="39">
        <f>IF(OR(F61="",G61=""),"",F61*G61)</f>
        <v/>
      </c>
      <c r="I61" s="8" t="n"/>
      <c r="J61" s="8" t="n"/>
      <c r="K61" s="8" t="n"/>
    </row>
    <row r="62" ht="18" customHeight="1" s="109">
      <c r="A62" s="12">
        <f>IF(E62="","",IFERROR(VLOOKUP(E62,'📋 Catálogo'!$B$7:$V$41,21,0),""))</f>
        <v/>
      </c>
      <c r="B62" s="72" t="n"/>
      <c r="C62" s="12" t="n"/>
      <c r="D62" s="12" t="n"/>
      <c r="E62" s="12" t="n"/>
      <c r="F62" s="12" t="n"/>
      <c r="G62" s="73" t="n"/>
      <c r="H62" s="39">
        <f>IF(OR(F62="",G62=""),"",F62*G62)</f>
        <v/>
      </c>
      <c r="I62" s="12" t="n"/>
      <c r="J62" s="12" t="n"/>
      <c r="K62" s="12" t="n"/>
    </row>
    <row r="63" ht="18" customHeight="1" s="109">
      <c r="A63" s="8">
        <f>IF(E63="","",IFERROR(VLOOKUP(E63,'📋 Catálogo'!$B$7:$V$41,21,0),""))</f>
        <v/>
      </c>
      <c r="B63" s="70" t="n"/>
      <c r="C63" s="8" t="n"/>
      <c r="D63" s="8" t="n"/>
      <c r="E63" s="8" t="n"/>
      <c r="F63" s="8" t="n"/>
      <c r="G63" s="71" t="n"/>
      <c r="H63" s="39">
        <f>IF(OR(F63="",G63=""),"",F63*G63)</f>
        <v/>
      </c>
      <c r="I63" s="8" t="n"/>
      <c r="J63" s="8" t="n"/>
      <c r="K63" s="8" t="n"/>
    </row>
    <row r="64" ht="18" customHeight="1" s="109">
      <c r="A64" s="12">
        <f>IF(E64="","",IFERROR(VLOOKUP(E64,'📋 Catálogo'!$B$7:$V$41,21,0),""))</f>
        <v/>
      </c>
      <c r="B64" s="72" t="n"/>
      <c r="C64" s="12" t="n"/>
      <c r="D64" s="12" t="n"/>
      <c r="E64" s="12" t="n"/>
      <c r="F64" s="12" t="n"/>
      <c r="G64" s="73" t="n"/>
      <c r="H64" s="39">
        <f>IF(OR(F64="",G64=""),"",F64*G64)</f>
        <v/>
      </c>
      <c r="I64" s="12" t="n"/>
      <c r="J64" s="12" t="n"/>
      <c r="K64" s="12" t="n"/>
    </row>
    <row r="65" ht="18" customHeight="1" s="109">
      <c r="A65" s="8">
        <f>IF(E65="","",IFERROR(VLOOKUP(E65,'📋 Catálogo'!$B$7:$V$41,21,0),""))</f>
        <v/>
      </c>
      <c r="B65" s="70" t="n"/>
      <c r="C65" s="8" t="n"/>
      <c r="D65" s="8" t="n"/>
      <c r="E65" s="8" t="n"/>
      <c r="F65" s="8" t="n"/>
      <c r="G65" s="71" t="n"/>
      <c r="H65" s="39">
        <f>IF(OR(F65="",G65=""),"",F65*G65)</f>
        <v/>
      </c>
      <c r="I65" s="8" t="n"/>
      <c r="J65" s="8" t="n"/>
      <c r="K65" s="8" t="n"/>
    </row>
    <row r="66" ht="18" customHeight="1" s="109">
      <c r="A66" s="12">
        <f>IF(E66="","",IFERROR(VLOOKUP(E66,'📋 Catálogo'!$B$7:$V$41,21,0),""))</f>
        <v/>
      </c>
      <c r="B66" s="72" t="n"/>
      <c r="C66" s="12" t="n"/>
      <c r="D66" s="12" t="n"/>
      <c r="E66" s="12" t="n"/>
      <c r="F66" s="12" t="n"/>
      <c r="G66" s="73" t="n"/>
      <c r="H66" s="39">
        <f>IF(OR(F66="",G66=""),"",F66*G66)</f>
        <v/>
      </c>
      <c r="I66" s="12" t="n"/>
      <c r="J66" s="12" t="n"/>
      <c r="K66" s="12" t="n"/>
    </row>
    <row r="67" ht="18" customHeight="1" s="109">
      <c r="A67" s="8">
        <f>IF(E67="","",IFERROR(VLOOKUP(E67,'📋 Catálogo'!$B$7:$V$41,21,0),""))</f>
        <v/>
      </c>
      <c r="B67" s="70" t="n"/>
      <c r="C67" s="8" t="n"/>
      <c r="D67" s="8" t="n"/>
      <c r="E67" s="8" t="n"/>
      <c r="F67" s="8" t="n"/>
      <c r="G67" s="71" t="n"/>
      <c r="H67" s="39">
        <f>IF(OR(F67="",G67=""),"",F67*G67)</f>
        <v/>
      </c>
      <c r="I67" s="8" t="n"/>
      <c r="J67" s="8" t="n"/>
      <c r="K67" s="8" t="n"/>
    </row>
    <row r="68" ht="18" customHeight="1" s="109">
      <c r="A68" s="12">
        <f>IF(E68="","",IFERROR(VLOOKUP(E68,'📋 Catálogo'!$B$7:$V$41,21,0),""))</f>
        <v/>
      </c>
      <c r="B68" s="72" t="n"/>
      <c r="C68" s="12" t="n"/>
      <c r="D68" s="12" t="n"/>
      <c r="E68" s="12" t="n"/>
      <c r="F68" s="12" t="n"/>
      <c r="G68" s="73" t="n"/>
      <c r="H68" s="39">
        <f>IF(OR(F68="",G68=""),"",F68*G68)</f>
        <v/>
      </c>
      <c r="I68" s="12" t="n"/>
      <c r="J68" s="12" t="n"/>
      <c r="K68" s="12" t="n"/>
    </row>
    <row r="69" ht="18" customHeight="1" s="109">
      <c r="A69" s="8">
        <f>IF(E69="","",IFERROR(VLOOKUP(E69,'📋 Catálogo'!$B$7:$V$41,21,0),""))</f>
        <v/>
      </c>
      <c r="B69" s="70" t="n"/>
      <c r="C69" s="8" t="n"/>
      <c r="D69" s="8" t="n"/>
      <c r="E69" s="8" t="n"/>
      <c r="F69" s="8" t="n"/>
      <c r="G69" s="71" t="n"/>
      <c r="H69" s="39">
        <f>IF(OR(F69="",G69=""),"",F69*G69)</f>
        <v/>
      </c>
      <c r="I69" s="8" t="n"/>
      <c r="J69" s="8" t="n"/>
      <c r="K69" s="8" t="n"/>
    </row>
    <row r="70" ht="18" customHeight="1" s="109">
      <c r="A70" s="12">
        <f>IF(E70="","",IFERROR(VLOOKUP(E70,'📋 Catálogo'!$B$7:$V$41,21,0),""))</f>
        <v/>
      </c>
      <c r="B70" s="72" t="n"/>
      <c r="C70" s="12" t="n"/>
      <c r="D70" s="12" t="n"/>
      <c r="E70" s="12" t="n"/>
      <c r="F70" s="12" t="n"/>
      <c r="G70" s="73" t="n"/>
      <c r="H70" s="39">
        <f>IF(OR(F70="",G70=""),"",F70*G70)</f>
        <v/>
      </c>
      <c r="I70" s="12" t="n"/>
      <c r="J70" s="12" t="n"/>
      <c r="K70" s="12" t="n"/>
    </row>
    <row r="71" ht="18" customHeight="1" s="109">
      <c r="A71" s="8">
        <f>IF(E71="","",IFERROR(VLOOKUP(E71,'📋 Catálogo'!$B$7:$V$41,21,0),""))</f>
        <v/>
      </c>
      <c r="B71" s="70" t="n"/>
      <c r="C71" s="8" t="n"/>
      <c r="D71" s="8" t="n"/>
      <c r="E71" s="8" t="n"/>
      <c r="F71" s="8" t="n"/>
      <c r="G71" s="71" t="n"/>
      <c r="H71" s="39">
        <f>IF(OR(F71="",G71=""),"",F71*G71)</f>
        <v/>
      </c>
      <c r="I71" s="8" t="n"/>
      <c r="J71" s="8" t="n"/>
      <c r="K71" s="8" t="n"/>
    </row>
    <row r="72" ht="18" customHeight="1" s="109">
      <c r="A72" s="12">
        <f>IF(E72="","",IFERROR(VLOOKUP(E72,'📋 Catálogo'!$B$7:$V$41,21,0),""))</f>
        <v/>
      </c>
      <c r="B72" s="72" t="n"/>
      <c r="C72" s="12" t="n"/>
      <c r="D72" s="12" t="n"/>
      <c r="E72" s="12" t="n"/>
      <c r="F72" s="12" t="n"/>
      <c r="G72" s="73" t="n"/>
      <c r="H72" s="39">
        <f>IF(OR(F72="",G72=""),"",F72*G72)</f>
        <v/>
      </c>
      <c r="I72" s="12" t="n"/>
      <c r="J72" s="12" t="n"/>
      <c r="K72" s="12" t="n"/>
    </row>
    <row r="73" ht="18" customHeight="1" s="109">
      <c r="A73" s="8">
        <f>IF(E73="","",IFERROR(VLOOKUP(E73,'📋 Catálogo'!$B$7:$V$41,21,0),""))</f>
        <v/>
      </c>
      <c r="B73" s="70" t="n"/>
      <c r="C73" s="8" t="n"/>
      <c r="D73" s="8" t="n"/>
      <c r="E73" s="8" t="n"/>
      <c r="F73" s="8" t="n"/>
      <c r="G73" s="71" t="n"/>
      <c r="H73" s="39">
        <f>IF(OR(F73="",G73=""),"",F73*G73)</f>
        <v/>
      </c>
      <c r="I73" s="8" t="n"/>
      <c r="J73" s="8" t="n"/>
      <c r="K73" s="8" t="n"/>
    </row>
    <row r="74" ht="18" customHeight="1" s="109">
      <c r="A74" s="12">
        <f>IF(E74="","",IFERROR(VLOOKUP(E74,'📋 Catálogo'!$B$7:$V$41,21,0),""))</f>
        <v/>
      </c>
      <c r="B74" s="72" t="n"/>
      <c r="C74" s="12" t="n"/>
      <c r="D74" s="12" t="n"/>
      <c r="E74" s="12" t="n"/>
      <c r="F74" s="12" t="n"/>
      <c r="G74" s="73" t="n"/>
      <c r="H74" s="39">
        <f>IF(OR(F74="",G74=""),"",F74*G74)</f>
        <v/>
      </c>
      <c r="I74" s="12" t="n"/>
      <c r="J74" s="12" t="n"/>
      <c r="K74" s="12" t="n"/>
    </row>
    <row r="75" ht="18" customHeight="1" s="109">
      <c r="A75" s="8">
        <f>IF(E75="","",IFERROR(VLOOKUP(E75,'📋 Catálogo'!$B$7:$V$41,21,0),""))</f>
        <v/>
      </c>
      <c r="B75" s="70" t="n"/>
      <c r="C75" s="8" t="n"/>
      <c r="D75" s="8" t="n"/>
      <c r="E75" s="8" t="n"/>
      <c r="F75" s="8" t="n"/>
      <c r="G75" s="71" t="n"/>
      <c r="H75" s="39">
        <f>IF(OR(F75="",G75=""),"",F75*G75)</f>
        <v/>
      </c>
      <c r="I75" s="8" t="n"/>
      <c r="J75" s="8" t="n"/>
      <c r="K75" s="8" t="n"/>
    </row>
    <row r="76" ht="18" customHeight="1" s="109">
      <c r="A76" s="12">
        <f>IF(E76="","",IFERROR(VLOOKUP(E76,'📋 Catálogo'!$B$7:$V$41,21,0),""))</f>
        <v/>
      </c>
      <c r="B76" s="72" t="n"/>
      <c r="C76" s="12" t="n"/>
      <c r="D76" s="12" t="n"/>
      <c r="E76" s="12" t="n"/>
      <c r="F76" s="12" t="n"/>
      <c r="G76" s="73" t="n"/>
      <c r="H76" s="39">
        <f>IF(OR(F76="",G76=""),"",F76*G76)</f>
        <v/>
      </c>
      <c r="I76" s="12" t="n"/>
      <c r="J76" s="12" t="n"/>
      <c r="K76" s="12" t="n"/>
    </row>
    <row r="77" ht="18" customHeight="1" s="109">
      <c r="A77" s="8">
        <f>IF(E77="","",IFERROR(VLOOKUP(E77,'📋 Catálogo'!$B$7:$V$41,21,0),""))</f>
        <v/>
      </c>
      <c r="B77" s="70" t="n"/>
      <c r="C77" s="8" t="n"/>
      <c r="D77" s="8" t="n"/>
      <c r="E77" s="8" t="n"/>
      <c r="F77" s="8" t="n"/>
      <c r="G77" s="71" t="n"/>
      <c r="H77" s="39">
        <f>IF(OR(F77="",G77=""),"",F77*G77)</f>
        <v/>
      </c>
      <c r="I77" s="8" t="n"/>
      <c r="J77" s="8" t="n"/>
      <c r="K77" s="8" t="n"/>
    </row>
    <row r="78" ht="18" customHeight="1" s="109">
      <c r="A78" s="12">
        <f>IF(E78="","",IFERROR(VLOOKUP(E78,'📋 Catálogo'!$B$7:$V$41,21,0),""))</f>
        <v/>
      </c>
      <c r="B78" s="72" t="n"/>
      <c r="C78" s="12" t="n"/>
      <c r="D78" s="12" t="n"/>
      <c r="E78" s="12" t="n"/>
      <c r="F78" s="12" t="n"/>
      <c r="G78" s="73" t="n"/>
      <c r="H78" s="39">
        <f>IF(OR(F78="",G78=""),"",F78*G78)</f>
        <v/>
      </c>
      <c r="I78" s="12" t="n"/>
      <c r="J78" s="12" t="n"/>
      <c r="K78" s="12" t="n"/>
    </row>
    <row r="79" ht="18" customHeight="1" s="109">
      <c r="A79" s="8">
        <f>IF(E79="","",IFERROR(VLOOKUP(E79,'📋 Catálogo'!$B$7:$V$41,21,0),""))</f>
        <v/>
      </c>
      <c r="B79" s="70" t="n"/>
      <c r="C79" s="8" t="n"/>
      <c r="D79" s="8" t="n"/>
      <c r="E79" s="8" t="n"/>
      <c r="F79" s="8" t="n"/>
      <c r="G79" s="71" t="n"/>
      <c r="H79" s="39">
        <f>IF(OR(F79="",G79=""),"",F79*G79)</f>
        <v/>
      </c>
      <c r="I79" s="8" t="n"/>
      <c r="J79" s="8" t="n"/>
      <c r="K79" s="8" t="n"/>
    </row>
    <row r="80" ht="18" customHeight="1" s="109">
      <c r="A80" s="12">
        <f>IF(E80="","",IFERROR(VLOOKUP(E80,'📋 Catálogo'!$B$7:$V$41,21,0),""))</f>
        <v/>
      </c>
      <c r="B80" s="72" t="n"/>
      <c r="C80" s="12" t="n"/>
      <c r="D80" s="12" t="n"/>
      <c r="E80" s="12" t="n"/>
      <c r="F80" s="12" t="n"/>
      <c r="G80" s="73" t="n"/>
      <c r="H80" s="39">
        <f>IF(OR(F80="",G80=""),"",F80*G80)</f>
        <v/>
      </c>
      <c r="I80" s="12" t="n"/>
      <c r="J80" s="12" t="n"/>
      <c r="K80" s="12" t="n"/>
    </row>
    <row r="81" ht="18" customHeight="1" s="109">
      <c r="A81" s="8">
        <f>IF(E81="","",IFERROR(VLOOKUP(E81,'📋 Catálogo'!$B$7:$V$41,21,0),""))</f>
        <v/>
      </c>
      <c r="B81" s="70" t="n"/>
      <c r="C81" s="8" t="n"/>
      <c r="D81" s="8" t="n"/>
      <c r="E81" s="8" t="n"/>
      <c r="F81" s="8" t="n"/>
      <c r="G81" s="71" t="n"/>
      <c r="H81" s="39">
        <f>IF(OR(F81="",G81=""),"",F81*G81)</f>
        <v/>
      </c>
      <c r="I81" s="8" t="n"/>
      <c r="J81" s="8" t="n"/>
      <c r="K81" s="8" t="n"/>
    </row>
    <row r="82" ht="18" customHeight="1" s="109">
      <c r="A82" s="12">
        <f>IF(E82="","",IFERROR(VLOOKUP(E82,'📋 Catálogo'!$B$7:$V$41,21,0),""))</f>
        <v/>
      </c>
      <c r="B82" s="72" t="n"/>
      <c r="C82" s="12" t="n"/>
      <c r="D82" s="12" t="n"/>
      <c r="E82" s="12" t="n"/>
      <c r="F82" s="12" t="n"/>
      <c r="G82" s="73" t="n"/>
      <c r="H82" s="39">
        <f>IF(OR(F82="",G82=""),"",F82*G82)</f>
        <v/>
      </c>
      <c r="I82" s="12" t="n"/>
      <c r="J82" s="12" t="n"/>
      <c r="K82" s="12" t="n"/>
    </row>
    <row r="83" ht="18" customHeight="1" s="109">
      <c r="A83" s="8">
        <f>IF(E83="","",IFERROR(VLOOKUP(E83,'📋 Catálogo'!$B$7:$V$41,21,0),""))</f>
        <v/>
      </c>
      <c r="B83" s="70" t="n"/>
      <c r="C83" s="8" t="n"/>
      <c r="D83" s="8" t="n"/>
      <c r="E83" s="8" t="n"/>
      <c r="F83" s="8" t="n"/>
      <c r="G83" s="71" t="n"/>
      <c r="H83" s="39">
        <f>IF(OR(F83="",G83=""),"",F83*G83)</f>
        <v/>
      </c>
      <c r="I83" s="8" t="n"/>
      <c r="J83" s="8" t="n"/>
      <c r="K83" s="8" t="n"/>
    </row>
    <row r="84" ht="18" customHeight="1" s="109">
      <c r="A84" s="12">
        <f>IF(E84="","",IFERROR(VLOOKUP(E84,'📋 Catálogo'!$B$7:$V$41,21,0),""))</f>
        <v/>
      </c>
      <c r="B84" s="72" t="n"/>
      <c r="C84" s="12" t="n"/>
      <c r="D84" s="12" t="n"/>
      <c r="E84" s="12" t="n"/>
      <c r="F84" s="12" t="n"/>
      <c r="G84" s="73" t="n"/>
      <c r="H84" s="39">
        <f>IF(OR(F84="",G84=""),"",F84*G84)</f>
        <v/>
      </c>
      <c r="I84" s="12" t="n"/>
      <c r="J84" s="12" t="n"/>
      <c r="K84" s="12" t="n"/>
    </row>
    <row r="85" ht="18" customHeight="1" s="109">
      <c r="A85" s="8">
        <f>IF(E85="","",IFERROR(VLOOKUP(E85,'📋 Catálogo'!$B$7:$V$41,21,0),""))</f>
        <v/>
      </c>
      <c r="B85" s="70" t="n"/>
      <c r="C85" s="8" t="n"/>
      <c r="D85" s="8" t="n"/>
      <c r="E85" s="8" t="n"/>
      <c r="F85" s="8" t="n"/>
      <c r="G85" s="71" t="n"/>
      <c r="H85" s="39">
        <f>IF(OR(F85="",G85=""),"",F85*G85)</f>
        <v/>
      </c>
      <c r="I85" s="8" t="n"/>
      <c r="J85" s="8" t="n"/>
      <c r="K85" s="8" t="n"/>
    </row>
    <row r="86" ht="18" customHeight="1" s="109">
      <c r="A86" s="12">
        <f>IF(E86="","",IFERROR(VLOOKUP(E86,'📋 Catálogo'!$B$7:$V$41,21,0),""))</f>
        <v/>
      </c>
      <c r="B86" s="72" t="n"/>
      <c r="C86" s="12" t="n"/>
      <c r="D86" s="12" t="n"/>
      <c r="E86" s="12" t="n"/>
      <c r="F86" s="12" t="n"/>
      <c r="G86" s="73" t="n"/>
      <c r="H86" s="39">
        <f>IF(OR(F86="",G86=""),"",F86*G86)</f>
        <v/>
      </c>
      <c r="I86" s="12" t="n"/>
      <c r="J86" s="12" t="n"/>
      <c r="K86" s="12" t="n"/>
    </row>
    <row r="87" ht="18" customHeight="1" s="109">
      <c r="A87" s="8">
        <f>IF(E87="","",IFERROR(VLOOKUP(E87,'📋 Catálogo'!$B$7:$V$41,21,0),""))</f>
        <v/>
      </c>
      <c r="B87" s="70" t="n"/>
      <c r="C87" s="8" t="n"/>
      <c r="D87" s="8" t="n"/>
      <c r="E87" s="8" t="n"/>
      <c r="F87" s="8" t="n"/>
      <c r="G87" s="71" t="n"/>
      <c r="H87" s="39">
        <f>IF(OR(F87="",G87=""),"",F87*G87)</f>
        <v/>
      </c>
      <c r="I87" s="8" t="n"/>
      <c r="J87" s="8" t="n"/>
      <c r="K87" s="8" t="n"/>
    </row>
    <row r="88" ht="18" customHeight="1" s="109">
      <c r="A88" s="12">
        <f>IF(E88="","",IFERROR(VLOOKUP(E88,'📋 Catálogo'!$B$7:$V$41,21,0),""))</f>
        <v/>
      </c>
      <c r="B88" s="72" t="n"/>
      <c r="C88" s="12" t="n"/>
      <c r="D88" s="12" t="n"/>
      <c r="E88" s="12" t="n"/>
      <c r="F88" s="12" t="n"/>
      <c r="G88" s="73" t="n"/>
      <c r="H88" s="39">
        <f>IF(OR(F88="",G88=""),"",F88*G88)</f>
        <v/>
      </c>
      <c r="I88" s="12" t="n"/>
      <c r="J88" s="12" t="n"/>
      <c r="K88" s="12" t="n"/>
    </row>
    <row r="89" ht="18" customHeight="1" s="109">
      <c r="A89" s="8">
        <f>IF(E89="","",IFERROR(VLOOKUP(E89,'📋 Catálogo'!$B$7:$V$41,21,0),""))</f>
        <v/>
      </c>
      <c r="B89" s="70" t="n"/>
      <c r="C89" s="8" t="n"/>
      <c r="D89" s="8" t="n"/>
      <c r="E89" s="8" t="n"/>
      <c r="F89" s="8" t="n"/>
      <c r="G89" s="71" t="n"/>
      <c r="H89" s="39">
        <f>IF(OR(F89="",G89=""),"",F89*G89)</f>
        <v/>
      </c>
      <c r="I89" s="8" t="n"/>
      <c r="J89" s="8" t="n"/>
      <c r="K89" s="8" t="n"/>
    </row>
    <row r="90" ht="18" customHeight="1" s="109">
      <c r="A90" s="12">
        <f>IF(E90="","",IFERROR(VLOOKUP(E90,'📋 Catálogo'!$B$7:$V$41,21,0),""))</f>
        <v/>
      </c>
      <c r="B90" s="72" t="n"/>
      <c r="C90" s="12" t="n"/>
      <c r="D90" s="12" t="n"/>
      <c r="E90" s="12" t="n"/>
      <c r="F90" s="12" t="n"/>
      <c r="G90" s="73" t="n"/>
      <c r="H90" s="39">
        <f>IF(OR(F90="",G90=""),"",F90*G90)</f>
        <v/>
      </c>
      <c r="I90" s="12" t="n"/>
      <c r="J90" s="12" t="n"/>
      <c r="K90" s="12" t="n"/>
    </row>
    <row r="91" ht="18" customHeight="1" s="109">
      <c r="A91" s="8">
        <f>IF(E91="","",IFERROR(VLOOKUP(E91,'📋 Catálogo'!$B$7:$V$41,21,0),""))</f>
        <v/>
      </c>
      <c r="B91" s="70" t="n"/>
      <c r="C91" s="8" t="n"/>
      <c r="D91" s="8" t="n"/>
      <c r="E91" s="8" t="n"/>
      <c r="F91" s="8" t="n"/>
      <c r="G91" s="71" t="n"/>
      <c r="H91" s="39">
        <f>IF(OR(F91="",G91=""),"",F91*G91)</f>
        <v/>
      </c>
      <c r="I91" s="8" t="n"/>
      <c r="J91" s="8" t="n"/>
      <c r="K91" s="8" t="n"/>
    </row>
    <row r="92" ht="18" customHeight="1" s="109">
      <c r="A92" s="12">
        <f>IF(E92="","",IFERROR(VLOOKUP(E92,'📋 Catálogo'!$B$7:$V$41,21,0),""))</f>
        <v/>
      </c>
      <c r="B92" s="72" t="n"/>
      <c r="C92" s="12" t="n"/>
      <c r="D92" s="12" t="n"/>
      <c r="E92" s="12" t="n"/>
      <c r="F92" s="12" t="n"/>
      <c r="G92" s="73" t="n"/>
      <c r="H92" s="39">
        <f>IF(OR(F92="",G92=""),"",F92*G92)</f>
        <v/>
      </c>
      <c r="I92" s="12" t="n"/>
      <c r="J92" s="12" t="n"/>
      <c r="K92" s="12" t="n"/>
    </row>
    <row r="93" ht="18" customHeight="1" s="109">
      <c r="A93" s="8">
        <f>IF(E93="","",IFERROR(VLOOKUP(E93,'📋 Catálogo'!$B$7:$V$41,21,0),""))</f>
        <v/>
      </c>
      <c r="B93" s="70" t="n"/>
      <c r="C93" s="8" t="n"/>
      <c r="D93" s="8" t="n"/>
      <c r="E93" s="8" t="n"/>
      <c r="F93" s="8" t="n"/>
      <c r="G93" s="71" t="n"/>
      <c r="H93" s="39">
        <f>IF(OR(F93="",G93=""),"",F93*G93)</f>
        <v/>
      </c>
      <c r="I93" s="8" t="n"/>
      <c r="J93" s="8" t="n"/>
      <c r="K93" s="8" t="n"/>
    </row>
    <row r="94" ht="18" customHeight="1" s="109">
      <c r="A94" s="12">
        <f>IF(E94="","",IFERROR(VLOOKUP(E94,'📋 Catálogo'!$B$7:$V$41,21,0),""))</f>
        <v/>
      </c>
      <c r="B94" s="72" t="n"/>
      <c r="C94" s="12" t="n"/>
      <c r="D94" s="12" t="n"/>
      <c r="E94" s="12" t="n"/>
      <c r="F94" s="12" t="n"/>
      <c r="G94" s="73" t="n"/>
      <c r="H94" s="39">
        <f>IF(OR(F94="",G94=""),"",F94*G94)</f>
        <v/>
      </c>
      <c r="I94" s="12" t="n"/>
      <c r="J94" s="12" t="n"/>
      <c r="K94" s="12" t="n"/>
    </row>
    <row r="95" ht="18" customHeight="1" s="109">
      <c r="A95" s="8">
        <f>IF(E95="","",IFERROR(VLOOKUP(E95,'📋 Catálogo'!$B$7:$V$41,21,0),""))</f>
        <v/>
      </c>
      <c r="B95" s="70" t="n"/>
      <c r="C95" s="8" t="n"/>
      <c r="D95" s="8" t="n"/>
      <c r="E95" s="8" t="n"/>
      <c r="F95" s="8" t="n"/>
      <c r="G95" s="71" t="n"/>
      <c r="H95" s="39">
        <f>IF(OR(F95="",G95=""),"",F95*G95)</f>
        <v/>
      </c>
      <c r="I95" s="8" t="n"/>
      <c r="J95" s="8" t="n"/>
      <c r="K95" s="8" t="n"/>
    </row>
    <row r="96" ht="18" customHeight="1" s="109">
      <c r="A96" s="12">
        <f>IF(E96="","",IFERROR(VLOOKUP(E96,'📋 Catálogo'!$B$7:$V$41,21,0),""))</f>
        <v/>
      </c>
      <c r="B96" s="72" t="n"/>
      <c r="C96" s="12" t="n"/>
      <c r="D96" s="12" t="n"/>
      <c r="E96" s="12" t="n"/>
      <c r="F96" s="12" t="n"/>
      <c r="G96" s="73" t="n"/>
      <c r="H96" s="39">
        <f>IF(OR(F96="",G96=""),"",F96*G96)</f>
        <v/>
      </c>
      <c r="I96" s="12" t="n"/>
      <c r="J96" s="12" t="n"/>
      <c r="K96" s="12" t="n"/>
    </row>
    <row r="97" ht="18" customHeight="1" s="109">
      <c r="A97" s="8">
        <f>IF(E97="","",IFERROR(VLOOKUP(E97,'📋 Catálogo'!$B$7:$V$41,21,0),""))</f>
        <v/>
      </c>
      <c r="B97" s="70" t="n"/>
      <c r="C97" s="8" t="n"/>
      <c r="D97" s="8" t="n"/>
      <c r="E97" s="8" t="n"/>
      <c r="F97" s="8" t="n"/>
      <c r="G97" s="71" t="n"/>
      <c r="H97" s="39">
        <f>IF(OR(F97="",G97=""),"",F97*G97)</f>
        <v/>
      </c>
      <c r="I97" s="8" t="n"/>
      <c r="J97" s="8" t="n"/>
      <c r="K97" s="8" t="n"/>
    </row>
    <row r="98" ht="18" customHeight="1" s="109">
      <c r="A98" s="12">
        <f>IF(E98="","",IFERROR(VLOOKUP(E98,'📋 Catálogo'!$B$7:$V$41,21,0),""))</f>
        <v/>
      </c>
      <c r="B98" s="72" t="n"/>
      <c r="C98" s="12" t="n"/>
      <c r="D98" s="12" t="n"/>
      <c r="E98" s="12" t="n"/>
      <c r="F98" s="12" t="n"/>
      <c r="G98" s="73" t="n"/>
      <c r="H98" s="39">
        <f>IF(OR(F98="",G98=""),"",F98*G98)</f>
        <v/>
      </c>
      <c r="I98" s="12" t="n"/>
      <c r="J98" s="12" t="n"/>
      <c r="K98" s="12" t="n"/>
    </row>
    <row r="99" ht="18" customHeight="1" s="109">
      <c r="A99" s="8">
        <f>IF(E99="","",IFERROR(VLOOKUP(E99,'📋 Catálogo'!$B$7:$V$41,21,0),""))</f>
        <v/>
      </c>
      <c r="B99" s="70" t="n"/>
      <c r="C99" s="8" t="n"/>
      <c r="D99" s="8" t="n"/>
      <c r="E99" s="8" t="n"/>
      <c r="F99" s="8" t="n"/>
      <c r="G99" s="71" t="n"/>
      <c r="H99" s="39">
        <f>IF(OR(F99="",G99=""),"",F99*G99)</f>
        <v/>
      </c>
      <c r="I99" s="8" t="n"/>
      <c r="J99" s="8" t="n"/>
      <c r="K99" s="8" t="n"/>
    </row>
    <row r="100" ht="18" customHeight="1" s="109">
      <c r="A100" s="12">
        <f>IF(E100="","",IFERROR(VLOOKUP(E100,'📋 Catálogo'!$B$7:$V$41,21,0),""))</f>
        <v/>
      </c>
      <c r="B100" s="72" t="n"/>
      <c r="C100" s="12" t="n"/>
      <c r="D100" s="12" t="n"/>
      <c r="E100" s="12" t="n"/>
      <c r="F100" s="12" t="n"/>
      <c r="G100" s="73" t="n"/>
      <c r="H100" s="39">
        <f>IF(OR(F100="",G100=""),"",F100*G100)</f>
        <v/>
      </c>
      <c r="I100" s="12" t="n"/>
      <c r="J100" s="12" t="n"/>
      <c r="K100" s="12" t="n"/>
    </row>
    <row r="101" ht="18" customHeight="1" s="109">
      <c r="A101" s="8">
        <f>IF(E101="","",IFERROR(VLOOKUP(E101,'📋 Catálogo'!$B$7:$V$41,21,0),""))</f>
        <v/>
      </c>
      <c r="B101" s="70" t="n"/>
      <c r="C101" s="8" t="n"/>
      <c r="D101" s="8" t="n"/>
      <c r="E101" s="8" t="n"/>
      <c r="F101" s="8" t="n"/>
      <c r="G101" s="71" t="n"/>
      <c r="H101" s="39">
        <f>IF(OR(F101="",G101=""),"",F101*G101)</f>
        <v/>
      </c>
      <c r="I101" s="8" t="n"/>
      <c r="J101" s="8" t="n"/>
      <c r="K101" s="8" t="n"/>
    </row>
    <row r="102" ht="18" customHeight="1" s="109">
      <c r="A102" s="12">
        <f>IF(E102="","",IFERROR(VLOOKUP(E102,'📋 Catálogo'!$B$7:$V$41,21,0),""))</f>
        <v/>
      </c>
      <c r="B102" s="72" t="n"/>
      <c r="C102" s="12" t="n"/>
      <c r="D102" s="12" t="n"/>
      <c r="E102" s="12" t="n"/>
      <c r="F102" s="12" t="n"/>
      <c r="G102" s="73" t="n"/>
      <c r="H102" s="39">
        <f>IF(OR(F102="",G102=""),"",F102*G102)</f>
        <v/>
      </c>
      <c r="I102" s="12" t="n"/>
      <c r="J102" s="12" t="n"/>
      <c r="K102" s="12" t="n"/>
    </row>
    <row r="103" ht="18" customHeight="1" s="109">
      <c r="A103" s="8">
        <f>IF(E103="","",IFERROR(VLOOKUP(E103,'📋 Catálogo'!$B$7:$V$41,21,0),""))</f>
        <v/>
      </c>
      <c r="B103" s="70" t="n"/>
      <c r="C103" s="8" t="n"/>
      <c r="D103" s="8" t="n"/>
      <c r="E103" s="8" t="n"/>
      <c r="F103" s="8" t="n"/>
      <c r="G103" s="71" t="n"/>
      <c r="H103" s="39">
        <f>IF(OR(F103="",G103=""),"",F103*G103)</f>
        <v/>
      </c>
      <c r="I103" s="8" t="n"/>
      <c r="J103" s="8" t="n"/>
      <c r="K103" s="8" t="n"/>
    </row>
    <row r="104" ht="18" customHeight="1" s="109">
      <c r="A104" s="12">
        <f>IF(E104="","",IFERROR(VLOOKUP(E104,'📋 Catálogo'!$B$7:$V$41,21,0),""))</f>
        <v/>
      </c>
      <c r="B104" s="72" t="n"/>
      <c r="C104" s="12" t="n"/>
      <c r="D104" s="12" t="n"/>
      <c r="E104" s="12" t="n"/>
      <c r="F104" s="12" t="n"/>
      <c r="G104" s="73" t="n"/>
      <c r="H104" s="39">
        <f>IF(OR(F104="",G104=""),"",F104*G104)</f>
        <v/>
      </c>
      <c r="I104" s="12" t="n"/>
      <c r="J104" s="12" t="n"/>
      <c r="K104" s="12" t="n"/>
    </row>
    <row r="105" ht="18" customHeight="1" s="109">
      <c r="A105" s="8">
        <f>IF(E105="","",IFERROR(VLOOKUP(E105,'📋 Catálogo'!$B$7:$V$41,21,0),""))</f>
        <v/>
      </c>
      <c r="B105" s="70" t="n"/>
      <c r="C105" s="8" t="n"/>
      <c r="D105" s="8" t="n"/>
      <c r="E105" s="8" t="n"/>
      <c r="F105" s="8" t="n"/>
      <c r="G105" s="71" t="n"/>
      <c r="H105" s="39">
        <f>IF(OR(F105="",G105=""),"",F105*G105)</f>
        <v/>
      </c>
      <c r="I105" s="8" t="n"/>
      <c r="J105" s="8" t="n"/>
      <c r="K105" s="8" t="n"/>
    </row>
    <row r="106" ht="18" customHeight="1" s="109">
      <c r="A106" s="12">
        <f>IF(E106="","",IFERROR(VLOOKUP(E106,'📋 Catálogo'!$B$7:$V$41,21,0),""))</f>
        <v/>
      </c>
      <c r="B106" s="72" t="n"/>
      <c r="C106" s="12" t="n"/>
      <c r="D106" s="12" t="n"/>
      <c r="E106" s="12" t="n"/>
      <c r="F106" s="12" t="n"/>
      <c r="G106" s="73" t="n"/>
      <c r="H106" s="39">
        <f>IF(OR(F106="",G106=""),"",F106*G106)</f>
        <v/>
      </c>
      <c r="I106" s="12" t="n"/>
      <c r="J106" s="12" t="n"/>
      <c r="K106" s="12" t="n"/>
    </row>
    <row r="107" ht="18" customHeight="1" s="109">
      <c r="A107" s="8">
        <f>IF(E107="","",IFERROR(VLOOKUP(E107,'📋 Catálogo'!$B$7:$V$41,21,0),""))</f>
        <v/>
      </c>
      <c r="B107" s="70" t="n"/>
      <c r="C107" s="8" t="n"/>
      <c r="D107" s="8" t="n"/>
      <c r="E107" s="8" t="n"/>
      <c r="F107" s="8" t="n"/>
      <c r="G107" s="71" t="n"/>
      <c r="H107" s="39">
        <f>IF(OR(F107="",G107=""),"",F107*G107)</f>
        <v/>
      </c>
      <c r="I107" s="8" t="n"/>
      <c r="J107" s="8" t="n"/>
      <c r="K107" s="8" t="n"/>
    </row>
    <row r="108" ht="18" customHeight="1" s="109">
      <c r="A108" s="12">
        <f>IF(E108="","",IFERROR(VLOOKUP(E108,'📋 Catálogo'!$B$7:$V$41,21,0),""))</f>
        <v/>
      </c>
      <c r="B108" s="72" t="n"/>
      <c r="C108" s="12" t="n"/>
      <c r="D108" s="12" t="n"/>
      <c r="E108" s="12" t="n"/>
      <c r="F108" s="12" t="n"/>
      <c r="G108" s="73" t="n"/>
      <c r="H108" s="39">
        <f>IF(OR(F108="",G108=""),"",F108*G108)</f>
        <v/>
      </c>
      <c r="I108" s="12" t="n"/>
      <c r="J108" s="12" t="n"/>
      <c r="K108" s="12" t="n"/>
    </row>
    <row r="109" ht="18" customHeight="1" s="109">
      <c r="A109" s="8">
        <f>IF(E109="","",IFERROR(VLOOKUP(E109,'📋 Catálogo'!$B$7:$V$41,21,0),""))</f>
        <v/>
      </c>
      <c r="B109" s="70" t="n"/>
      <c r="C109" s="8" t="n"/>
      <c r="D109" s="8" t="n"/>
      <c r="E109" s="8" t="n"/>
      <c r="F109" s="8" t="n"/>
      <c r="G109" s="71" t="n"/>
      <c r="H109" s="39">
        <f>IF(OR(F109="",G109=""),"",F109*G109)</f>
        <v/>
      </c>
      <c r="I109" s="8" t="n"/>
      <c r="J109" s="8" t="n"/>
      <c r="K109" s="8" t="n"/>
    </row>
    <row r="110" ht="18" customHeight="1" s="109">
      <c r="A110" s="12">
        <f>IF(E110="","",IFERROR(VLOOKUP(E110,'📋 Catálogo'!$B$7:$V$41,21,0),""))</f>
        <v/>
      </c>
      <c r="B110" s="72" t="n"/>
      <c r="C110" s="12" t="n"/>
      <c r="D110" s="12" t="n"/>
      <c r="E110" s="12" t="n"/>
      <c r="F110" s="12" t="n"/>
      <c r="G110" s="73" t="n"/>
      <c r="H110" s="39">
        <f>IF(OR(F110="",G110=""),"",F110*G110)</f>
        <v/>
      </c>
      <c r="I110" s="12" t="n"/>
      <c r="J110" s="12" t="n"/>
      <c r="K110" s="12" t="n"/>
    </row>
    <row r="111" ht="18" customHeight="1" s="109">
      <c r="A111" s="8">
        <f>IF(E111="","",IFERROR(VLOOKUP(E111,'📋 Catálogo'!$B$7:$V$41,21,0),""))</f>
        <v/>
      </c>
      <c r="B111" s="70" t="n"/>
      <c r="C111" s="8" t="n"/>
      <c r="D111" s="8" t="n"/>
      <c r="E111" s="8" t="n"/>
      <c r="F111" s="8" t="n"/>
      <c r="G111" s="71" t="n"/>
      <c r="H111" s="39">
        <f>IF(OR(F111="",G111=""),"",F111*G111)</f>
        <v/>
      </c>
      <c r="I111" s="8" t="n"/>
      <c r="J111" s="8" t="n"/>
      <c r="K111" s="8" t="n"/>
    </row>
    <row r="112" ht="18" customHeight="1" s="109">
      <c r="A112" s="12">
        <f>IF(E112="","",IFERROR(VLOOKUP(E112,'📋 Catálogo'!$B$7:$V$41,21,0),""))</f>
        <v/>
      </c>
      <c r="B112" s="72" t="n"/>
      <c r="C112" s="12" t="n"/>
      <c r="D112" s="12" t="n"/>
      <c r="E112" s="12" t="n"/>
      <c r="F112" s="12" t="n"/>
      <c r="G112" s="73" t="n"/>
      <c r="H112" s="39">
        <f>IF(OR(F112="",G112=""),"",F112*G112)</f>
        <v/>
      </c>
      <c r="I112" s="12" t="n"/>
      <c r="J112" s="12" t="n"/>
      <c r="K112" s="12" t="n"/>
    </row>
    <row r="113" ht="18" customHeight="1" s="109">
      <c r="A113" s="8">
        <f>IF(E113="","",IFERROR(VLOOKUP(E113,'📋 Catálogo'!$B$7:$V$41,21,0),""))</f>
        <v/>
      </c>
      <c r="B113" s="70" t="n"/>
      <c r="C113" s="8" t="n"/>
      <c r="D113" s="8" t="n"/>
      <c r="E113" s="8" t="n"/>
      <c r="F113" s="8" t="n"/>
      <c r="G113" s="71" t="n"/>
      <c r="H113" s="39">
        <f>IF(OR(F113="",G113=""),"",F113*G113)</f>
        <v/>
      </c>
      <c r="I113" s="8" t="n"/>
      <c r="J113" s="8" t="n"/>
      <c r="K113" s="8" t="n"/>
    </row>
    <row r="114" ht="18" customHeight="1" s="109">
      <c r="A114" s="12">
        <f>IF(E114="","",IFERROR(VLOOKUP(E114,'📋 Catálogo'!$B$7:$V$41,21,0),""))</f>
        <v/>
      </c>
      <c r="B114" s="72" t="n"/>
      <c r="C114" s="12" t="n"/>
      <c r="D114" s="12" t="n"/>
      <c r="E114" s="12" t="n"/>
      <c r="F114" s="12" t="n"/>
      <c r="G114" s="73" t="n"/>
      <c r="H114" s="39">
        <f>IF(OR(F114="",G114=""),"",F114*G114)</f>
        <v/>
      </c>
      <c r="I114" s="12" t="n"/>
      <c r="J114" s="12" t="n"/>
      <c r="K114" s="12" t="n"/>
    </row>
    <row r="115" ht="18" customHeight="1" s="109">
      <c r="A115" s="8">
        <f>IF(E115="","",IFERROR(VLOOKUP(E115,'📋 Catálogo'!$B$7:$V$41,21,0),""))</f>
        <v/>
      </c>
      <c r="B115" s="70" t="n"/>
      <c r="C115" s="8" t="n"/>
      <c r="D115" s="8" t="n"/>
      <c r="E115" s="8" t="n"/>
      <c r="F115" s="8" t="n"/>
      <c r="G115" s="71" t="n"/>
      <c r="H115" s="39">
        <f>IF(OR(F115="",G115=""),"",F115*G115)</f>
        <v/>
      </c>
      <c r="I115" s="8" t="n"/>
      <c r="J115" s="8" t="n"/>
      <c r="K115" s="8" t="n"/>
    </row>
    <row r="116" ht="18" customHeight="1" s="109">
      <c r="A116" s="12">
        <f>IF(E116="","",IFERROR(VLOOKUP(E116,'📋 Catálogo'!$B$7:$V$41,21,0),""))</f>
        <v/>
      </c>
      <c r="B116" s="72" t="n"/>
      <c r="C116" s="12" t="n"/>
      <c r="D116" s="12" t="n"/>
      <c r="E116" s="12" t="n"/>
      <c r="F116" s="12" t="n"/>
      <c r="G116" s="73" t="n"/>
      <c r="H116" s="39">
        <f>IF(OR(F116="",G116=""),"",F116*G116)</f>
        <v/>
      </c>
      <c r="I116" s="12" t="n"/>
      <c r="J116" s="12" t="n"/>
      <c r="K116" s="12" t="n"/>
    </row>
    <row r="117" ht="18" customHeight="1" s="109">
      <c r="A117" s="8">
        <f>IF(E117="","",IFERROR(VLOOKUP(E117,'📋 Catálogo'!$B$7:$V$41,21,0),""))</f>
        <v/>
      </c>
      <c r="B117" s="70" t="n"/>
      <c r="C117" s="8" t="n"/>
      <c r="D117" s="8" t="n"/>
      <c r="E117" s="8" t="n"/>
      <c r="F117" s="8" t="n"/>
      <c r="G117" s="71" t="n"/>
      <c r="H117" s="39">
        <f>IF(OR(F117="",G117=""),"",F117*G117)</f>
        <v/>
      </c>
      <c r="I117" s="8" t="n"/>
      <c r="J117" s="8" t="n"/>
      <c r="K117" s="8" t="n"/>
    </row>
    <row r="118" ht="18" customHeight="1" s="109">
      <c r="A118" s="12">
        <f>IF(E118="","",IFERROR(VLOOKUP(E118,'📋 Catálogo'!$B$7:$V$41,21,0),""))</f>
        <v/>
      </c>
      <c r="B118" s="72" t="n"/>
      <c r="C118" s="12" t="n"/>
      <c r="D118" s="12" t="n"/>
      <c r="E118" s="12" t="n"/>
      <c r="F118" s="12" t="n"/>
      <c r="G118" s="73" t="n"/>
      <c r="H118" s="39">
        <f>IF(OR(F118="",G118=""),"",F118*G118)</f>
        <v/>
      </c>
      <c r="I118" s="12" t="n"/>
      <c r="J118" s="12" t="n"/>
      <c r="K118" s="12" t="n"/>
    </row>
    <row r="119" ht="18" customHeight="1" s="109">
      <c r="A119" s="8">
        <f>IF(E119="","",IFERROR(VLOOKUP(E119,'📋 Catálogo'!$B$7:$V$41,21,0),""))</f>
        <v/>
      </c>
      <c r="B119" s="70" t="n"/>
      <c r="C119" s="8" t="n"/>
      <c r="D119" s="8" t="n"/>
      <c r="E119" s="8" t="n"/>
      <c r="F119" s="8" t="n"/>
      <c r="G119" s="71" t="n"/>
      <c r="H119" s="39">
        <f>IF(OR(F119="",G119=""),"",F119*G119)</f>
        <v/>
      </c>
      <c r="I119" s="8" t="n"/>
      <c r="J119" s="8" t="n"/>
      <c r="K119" s="8" t="n"/>
    </row>
    <row r="120" ht="18" customHeight="1" s="109">
      <c r="A120" s="12">
        <f>IF(E120="","",IFERROR(VLOOKUP(E120,'📋 Catálogo'!$B$7:$V$41,21,0),""))</f>
        <v/>
      </c>
      <c r="B120" s="72" t="n"/>
      <c r="C120" s="12" t="n"/>
      <c r="D120" s="12" t="n"/>
      <c r="E120" s="12" t="n"/>
      <c r="F120" s="12" t="n"/>
      <c r="G120" s="73" t="n"/>
      <c r="H120" s="39">
        <f>IF(OR(F120="",G120=""),"",F120*G120)</f>
        <v/>
      </c>
      <c r="I120" s="12" t="n"/>
      <c r="J120" s="12" t="n"/>
      <c r="K120" s="12" t="n"/>
    </row>
    <row r="121" ht="18" customHeight="1" s="109">
      <c r="A121" s="8">
        <f>IF(E121="","",IFERROR(VLOOKUP(E121,'📋 Catálogo'!$B$7:$V$41,21,0),""))</f>
        <v/>
      </c>
      <c r="B121" s="70" t="n"/>
      <c r="C121" s="8" t="n"/>
      <c r="D121" s="8" t="n"/>
      <c r="E121" s="8" t="n"/>
      <c r="F121" s="8" t="n"/>
      <c r="G121" s="71" t="n"/>
      <c r="H121" s="39">
        <f>IF(OR(F121="",G121=""),"",F121*G121)</f>
        <v/>
      </c>
      <c r="I121" s="8" t="n"/>
      <c r="J121" s="8" t="n"/>
      <c r="K121" s="8" t="n"/>
    </row>
    <row r="122" ht="18" customHeight="1" s="109">
      <c r="A122" s="12">
        <f>IF(E122="","",IFERROR(VLOOKUP(E122,'📋 Catálogo'!$B$7:$V$41,21,0),""))</f>
        <v/>
      </c>
      <c r="B122" s="72" t="n"/>
      <c r="C122" s="12" t="n"/>
      <c r="D122" s="12" t="n"/>
      <c r="E122" s="12" t="n"/>
      <c r="F122" s="12" t="n"/>
      <c r="G122" s="73" t="n"/>
      <c r="H122" s="39">
        <f>IF(OR(F122="",G122=""),"",F122*G122)</f>
        <v/>
      </c>
      <c r="I122" s="12" t="n"/>
      <c r="J122" s="12" t="n"/>
      <c r="K122" s="12" t="n"/>
    </row>
    <row r="123" ht="18" customHeight="1" s="109">
      <c r="A123" s="8">
        <f>IF(E123="","",IFERROR(VLOOKUP(E123,'📋 Catálogo'!$B$7:$V$41,21,0),""))</f>
        <v/>
      </c>
      <c r="B123" s="70" t="n"/>
      <c r="C123" s="8" t="n"/>
      <c r="D123" s="8" t="n"/>
      <c r="E123" s="8" t="n"/>
      <c r="F123" s="8" t="n"/>
      <c r="G123" s="71" t="n"/>
      <c r="H123" s="39">
        <f>IF(OR(F123="",G123=""),"",F123*G123)</f>
        <v/>
      </c>
      <c r="I123" s="8" t="n"/>
      <c r="J123" s="8" t="n"/>
      <c r="K123" s="8" t="n"/>
    </row>
    <row r="124" ht="18" customHeight="1" s="109">
      <c r="A124" s="12">
        <f>IF(E124="","",IFERROR(VLOOKUP(E124,'📋 Catálogo'!$B$7:$V$41,21,0),""))</f>
        <v/>
      </c>
      <c r="B124" s="72" t="n"/>
      <c r="C124" s="12" t="n"/>
      <c r="D124" s="12" t="n"/>
      <c r="E124" s="12" t="n"/>
      <c r="F124" s="12" t="n"/>
      <c r="G124" s="73" t="n"/>
      <c r="H124" s="39">
        <f>IF(OR(F124="",G124=""),"",F124*G124)</f>
        <v/>
      </c>
      <c r="I124" s="12" t="n"/>
      <c r="J124" s="12" t="n"/>
      <c r="K124" s="12" t="n"/>
    </row>
    <row r="125" ht="18" customHeight="1" s="109">
      <c r="A125" s="8">
        <f>IF(E125="","",IFERROR(VLOOKUP(E125,'📋 Catálogo'!$B$7:$V$41,21,0),""))</f>
        <v/>
      </c>
      <c r="B125" s="70" t="n"/>
      <c r="C125" s="8" t="n"/>
      <c r="D125" s="8" t="n"/>
      <c r="E125" s="8" t="n"/>
      <c r="F125" s="8" t="n"/>
      <c r="G125" s="71" t="n"/>
      <c r="H125" s="39">
        <f>IF(OR(F125="",G125=""),"",F125*G125)</f>
        <v/>
      </c>
      <c r="I125" s="8" t="n"/>
      <c r="J125" s="8" t="n"/>
      <c r="K125" s="8" t="n"/>
    </row>
    <row r="126" ht="18" customHeight="1" s="109">
      <c r="A126" s="12">
        <f>IF(E126="","",IFERROR(VLOOKUP(E126,'📋 Catálogo'!$B$7:$V$41,21,0),""))</f>
        <v/>
      </c>
      <c r="B126" s="72" t="n"/>
      <c r="C126" s="12" t="n"/>
      <c r="D126" s="12" t="n"/>
      <c r="E126" s="12" t="n"/>
      <c r="F126" s="12" t="n"/>
      <c r="G126" s="73" t="n"/>
      <c r="H126" s="39">
        <f>IF(OR(F126="",G126=""),"",F126*G126)</f>
        <v/>
      </c>
      <c r="I126" s="12" t="n"/>
      <c r="J126" s="12" t="n"/>
      <c r="K126" s="12" t="n"/>
    </row>
    <row r="127" ht="18" customHeight="1" s="109">
      <c r="A127" s="8">
        <f>IF(E127="","",IFERROR(VLOOKUP(E127,'📋 Catálogo'!$B$7:$V$41,21,0),""))</f>
        <v/>
      </c>
      <c r="B127" s="70" t="n"/>
      <c r="C127" s="8" t="n"/>
      <c r="D127" s="8" t="n"/>
      <c r="E127" s="8" t="n"/>
      <c r="F127" s="8" t="n"/>
      <c r="G127" s="71" t="n"/>
      <c r="H127" s="39">
        <f>IF(OR(F127="",G127=""),"",F127*G127)</f>
        <v/>
      </c>
      <c r="I127" s="8" t="n"/>
      <c r="J127" s="8" t="n"/>
      <c r="K127" s="8" t="n"/>
    </row>
    <row r="128" ht="18" customHeight="1" s="109">
      <c r="A128" s="12">
        <f>IF(E128="","",IFERROR(VLOOKUP(E128,'📋 Catálogo'!$B$7:$V$41,21,0),""))</f>
        <v/>
      </c>
      <c r="B128" s="72" t="n"/>
      <c r="C128" s="12" t="n"/>
      <c r="D128" s="12" t="n"/>
      <c r="E128" s="12" t="n"/>
      <c r="F128" s="12" t="n"/>
      <c r="G128" s="73" t="n"/>
      <c r="H128" s="39">
        <f>IF(OR(F128="",G128=""),"",F128*G128)</f>
        <v/>
      </c>
      <c r="I128" s="12" t="n"/>
      <c r="J128" s="12" t="n"/>
      <c r="K128" s="12" t="n"/>
    </row>
    <row r="129" ht="18" customHeight="1" s="109">
      <c r="A129" s="8">
        <f>IF(E129="","",IFERROR(VLOOKUP(E129,'📋 Catálogo'!$B$7:$V$41,21,0),""))</f>
        <v/>
      </c>
      <c r="B129" s="70" t="n"/>
      <c r="C129" s="8" t="n"/>
      <c r="D129" s="8" t="n"/>
      <c r="E129" s="8" t="n"/>
      <c r="F129" s="8" t="n"/>
      <c r="G129" s="71" t="n"/>
      <c r="H129" s="39">
        <f>IF(OR(F129="",G129=""),"",F129*G129)</f>
        <v/>
      </c>
      <c r="I129" s="8" t="n"/>
      <c r="J129" s="8" t="n"/>
      <c r="K129" s="8" t="n"/>
    </row>
    <row r="130" ht="18" customHeight="1" s="109">
      <c r="A130" s="12">
        <f>IF(E130="","",IFERROR(VLOOKUP(E130,'📋 Catálogo'!$B$7:$V$41,21,0),""))</f>
        <v/>
      </c>
      <c r="B130" s="72" t="n"/>
      <c r="C130" s="12" t="n"/>
      <c r="D130" s="12" t="n"/>
      <c r="E130" s="12" t="n"/>
      <c r="F130" s="12" t="n"/>
      <c r="G130" s="73" t="n"/>
      <c r="H130" s="39">
        <f>IF(OR(F130="",G130=""),"",F130*G130)</f>
        <v/>
      </c>
      <c r="I130" s="12" t="n"/>
      <c r="J130" s="12" t="n"/>
      <c r="K130" s="12" t="n"/>
    </row>
    <row r="131" ht="18" customHeight="1" s="109">
      <c r="A131" s="8">
        <f>IF(E131="","",IFERROR(VLOOKUP(E131,'📋 Catálogo'!$B$7:$V$41,21,0),""))</f>
        <v/>
      </c>
      <c r="B131" s="70" t="n"/>
      <c r="C131" s="8" t="n"/>
      <c r="D131" s="8" t="n"/>
      <c r="E131" s="8" t="n"/>
      <c r="F131" s="8" t="n"/>
      <c r="G131" s="71" t="n"/>
      <c r="H131" s="39">
        <f>IF(OR(F131="",G131=""),"",F131*G131)</f>
        <v/>
      </c>
      <c r="I131" s="8" t="n"/>
      <c r="J131" s="8" t="n"/>
      <c r="K131" s="8" t="n"/>
    </row>
    <row r="132" ht="18" customHeight="1" s="109">
      <c r="A132" s="12">
        <f>IF(E132="","",IFERROR(VLOOKUP(E132,'📋 Catálogo'!$B$7:$V$41,21,0),""))</f>
        <v/>
      </c>
      <c r="B132" s="72" t="n"/>
      <c r="C132" s="12" t="n"/>
      <c r="D132" s="12" t="n"/>
      <c r="E132" s="12" t="n"/>
      <c r="F132" s="12" t="n"/>
      <c r="G132" s="73" t="n"/>
      <c r="H132" s="39">
        <f>IF(OR(F132="",G132=""),"",F132*G132)</f>
        <v/>
      </c>
      <c r="I132" s="12" t="n"/>
      <c r="J132" s="12" t="n"/>
      <c r="K132" s="12" t="n"/>
    </row>
    <row r="133" ht="18" customHeight="1" s="109">
      <c r="A133" s="8">
        <f>IF(E133="","",IFERROR(VLOOKUP(E133,'📋 Catálogo'!$B$7:$V$41,21,0),""))</f>
        <v/>
      </c>
      <c r="B133" s="70" t="n"/>
      <c r="C133" s="8" t="n"/>
      <c r="D133" s="8" t="n"/>
      <c r="E133" s="8" t="n"/>
      <c r="F133" s="8" t="n"/>
      <c r="G133" s="71" t="n"/>
      <c r="H133" s="39">
        <f>IF(OR(F133="",G133=""),"",F133*G133)</f>
        <v/>
      </c>
      <c r="I133" s="8" t="n"/>
      <c r="J133" s="8" t="n"/>
      <c r="K133" s="8" t="n"/>
    </row>
    <row r="134" ht="18" customHeight="1" s="109">
      <c r="A134" s="12">
        <f>IF(E134="","",IFERROR(VLOOKUP(E134,'📋 Catálogo'!$B$7:$V$41,21,0),""))</f>
        <v/>
      </c>
      <c r="B134" s="72" t="n"/>
      <c r="C134" s="12" t="n"/>
      <c r="D134" s="12" t="n"/>
      <c r="E134" s="12" t="n"/>
      <c r="F134" s="12" t="n"/>
      <c r="G134" s="73" t="n"/>
      <c r="H134" s="39">
        <f>IF(OR(F134="",G134=""),"",F134*G134)</f>
        <v/>
      </c>
      <c r="I134" s="12" t="n"/>
      <c r="J134" s="12" t="n"/>
      <c r="K134" s="12" t="n"/>
    </row>
    <row r="135" ht="18" customHeight="1" s="109">
      <c r="A135" s="8">
        <f>IF(E135="","",IFERROR(VLOOKUP(E135,'📋 Catálogo'!$B$7:$V$41,21,0),""))</f>
        <v/>
      </c>
      <c r="B135" s="70" t="n"/>
      <c r="C135" s="8" t="n"/>
      <c r="D135" s="8" t="n"/>
      <c r="E135" s="8" t="n"/>
      <c r="F135" s="8" t="n"/>
      <c r="G135" s="71" t="n"/>
      <c r="H135" s="39">
        <f>IF(OR(F135="",G135=""),"",F135*G135)</f>
        <v/>
      </c>
      <c r="I135" s="8" t="n"/>
      <c r="J135" s="8" t="n"/>
      <c r="K135" s="8" t="n"/>
    </row>
    <row r="136" ht="18" customHeight="1" s="109">
      <c r="A136" s="12">
        <f>IF(E136="","",IFERROR(VLOOKUP(E136,'📋 Catálogo'!$B$7:$V$41,21,0),""))</f>
        <v/>
      </c>
      <c r="B136" s="72" t="n"/>
      <c r="C136" s="12" t="n"/>
      <c r="D136" s="12" t="n"/>
      <c r="E136" s="12" t="n"/>
      <c r="F136" s="12" t="n"/>
      <c r="G136" s="73" t="n"/>
      <c r="H136" s="39">
        <f>IF(OR(F136="",G136=""),"",F136*G136)</f>
        <v/>
      </c>
      <c r="I136" s="12" t="n"/>
      <c r="J136" s="12" t="n"/>
      <c r="K136" s="12" t="n"/>
    </row>
    <row r="137" ht="18" customHeight="1" s="109">
      <c r="A137" s="8">
        <f>IF(E137="","",IFERROR(VLOOKUP(E137,'📋 Catálogo'!$B$7:$V$41,21,0),""))</f>
        <v/>
      </c>
      <c r="B137" s="70" t="n"/>
      <c r="C137" s="8" t="n"/>
      <c r="D137" s="8" t="n"/>
      <c r="E137" s="8" t="n"/>
      <c r="F137" s="8" t="n"/>
      <c r="G137" s="71" t="n"/>
      <c r="H137" s="39">
        <f>IF(OR(F137="",G137=""),"",F137*G137)</f>
        <v/>
      </c>
      <c r="I137" s="8" t="n"/>
      <c r="J137" s="8" t="n"/>
      <c r="K137" s="8" t="n"/>
    </row>
    <row r="138" ht="18" customHeight="1" s="109">
      <c r="A138" s="12">
        <f>IF(E138="","",IFERROR(VLOOKUP(E138,'📋 Catálogo'!$B$7:$V$41,21,0),""))</f>
        <v/>
      </c>
      <c r="B138" s="72" t="n"/>
      <c r="C138" s="12" t="n"/>
      <c r="D138" s="12" t="n"/>
      <c r="E138" s="12" t="n"/>
      <c r="F138" s="12" t="n"/>
      <c r="G138" s="73" t="n"/>
      <c r="H138" s="39">
        <f>IF(OR(F138="",G138=""),"",F138*G138)</f>
        <v/>
      </c>
      <c r="I138" s="12" t="n"/>
      <c r="J138" s="12" t="n"/>
      <c r="K138" s="12" t="n"/>
    </row>
    <row r="139" ht="18" customHeight="1" s="109">
      <c r="A139" s="8">
        <f>IF(E139="","",IFERROR(VLOOKUP(E139,'📋 Catálogo'!$B$7:$V$41,21,0),""))</f>
        <v/>
      </c>
      <c r="B139" s="70" t="n"/>
      <c r="C139" s="8" t="n"/>
      <c r="D139" s="8" t="n"/>
      <c r="E139" s="8" t="n"/>
      <c r="F139" s="8" t="n"/>
      <c r="G139" s="71" t="n"/>
      <c r="H139" s="39">
        <f>IF(OR(F139="",G139=""),"",F139*G139)</f>
        <v/>
      </c>
      <c r="I139" s="8" t="n"/>
      <c r="J139" s="8" t="n"/>
      <c r="K139" s="8" t="n"/>
    </row>
    <row r="140" ht="18" customHeight="1" s="109">
      <c r="A140" s="12">
        <f>IF(E140="","",IFERROR(VLOOKUP(E140,'📋 Catálogo'!$B$7:$V$41,21,0),""))</f>
        <v/>
      </c>
      <c r="B140" s="72" t="n"/>
      <c r="C140" s="12" t="n"/>
      <c r="D140" s="12" t="n"/>
      <c r="E140" s="12" t="n"/>
      <c r="F140" s="12" t="n"/>
      <c r="G140" s="73" t="n"/>
      <c r="H140" s="39">
        <f>IF(OR(F140="",G140=""),"",F140*G140)</f>
        <v/>
      </c>
      <c r="I140" s="12" t="n"/>
      <c r="J140" s="12" t="n"/>
      <c r="K140" s="12" t="n"/>
    </row>
    <row r="141" ht="18" customHeight="1" s="109">
      <c r="A141" s="8">
        <f>IF(E141="","",IFERROR(VLOOKUP(E141,'📋 Catálogo'!$B$7:$V$41,21,0),""))</f>
        <v/>
      </c>
      <c r="B141" s="70" t="n"/>
      <c r="C141" s="8" t="n"/>
      <c r="D141" s="8" t="n"/>
      <c r="E141" s="8" t="n"/>
      <c r="F141" s="8" t="n"/>
      <c r="G141" s="71" t="n"/>
      <c r="H141" s="39">
        <f>IF(OR(F141="",G141=""),"",F141*G141)</f>
        <v/>
      </c>
      <c r="I141" s="8" t="n"/>
      <c r="J141" s="8" t="n"/>
      <c r="K141" s="8" t="n"/>
    </row>
    <row r="142" ht="18" customHeight="1" s="109">
      <c r="A142" s="12">
        <f>IF(E142="","",IFERROR(VLOOKUP(E142,'📋 Catálogo'!$B$7:$V$41,21,0),""))</f>
        <v/>
      </c>
      <c r="B142" s="72" t="n"/>
      <c r="C142" s="12" t="n"/>
      <c r="D142" s="12" t="n"/>
      <c r="E142" s="12" t="n"/>
      <c r="F142" s="12" t="n"/>
      <c r="G142" s="73" t="n"/>
      <c r="H142" s="39">
        <f>IF(OR(F142="",G142=""),"",F142*G142)</f>
        <v/>
      </c>
      <c r="I142" s="12" t="n"/>
      <c r="J142" s="12" t="n"/>
      <c r="K142" s="12" t="n"/>
    </row>
    <row r="143" ht="18" customHeight="1" s="109">
      <c r="A143" s="8">
        <f>IF(E143="","",IFERROR(VLOOKUP(E143,'📋 Catálogo'!$B$7:$V$41,21,0),""))</f>
        <v/>
      </c>
      <c r="B143" s="70" t="n"/>
      <c r="C143" s="8" t="n"/>
      <c r="D143" s="8" t="n"/>
      <c r="E143" s="8" t="n"/>
      <c r="F143" s="8" t="n"/>
      <c r="G143" s="71" t="n"/>
      <c r="H143" s="39">
        <f>IF(OR(F143="",G143=""),"",F143*G143)</f>
        <v/>
      </c>
      <c r="I143" s="8" t="n"/>
      <c r="J143" s="8" t="n"/>
      <c r="K143" s="8" t="n"/>
    </row>
    <row r="144" ht="18" customHeight="1" s="109">
      <c r="A144" s="12">
        <f>IF(E144="","",IFERROR(VLOOKUP(E144,'📋 Catálogo'!$B$7:$V$41,21,0),""))</f>
        <v/>
      </c>
      <c r="B144" s="72" t="n"/>
      <c r="C144" s="12" t="n"/>
      <c r="D144" s="12" t="n"/>
      <c r="E144" s="12" t="n"/>
      <c r="F144" s="12" t="n"/>
      <c r="G144" s="73" t="n"/>
      <c r="H144" s="39">
        <f>IF(OR(F144="",G144=""),"",F144*G144)</f>
        <v/>
      </c>
      <c r="I144" s="12" t="n"/>
      <c r="J144" s="12" t="n"/>
      <c r="K144" s="12" t="n"/>
    </row>
    <row r="145" ht="18" customHeight="1" s="109">
      <c r="A145" s="8">
        <f>IF(E145="","",IFERROR(VLOOKUP(E145,'📋 Catálogo'!$B$7:$V$41,21,0),""))</f>
        <v/>
      </c>
      <c r="B145" s="70" t="n"/>
      <c r="C145" s="8" t="n"/>
      <c r="D145" s="8" t="n"/>
      <c r="E145" s="8" t="n"/>
      <c r="F145" s="8" t="n"/>
      <c r="G145" s="71" t="n"/>
      <c r="H145" s="39">
        <f>IF(OR(F145="",G145=""),"",F145*G145)</f>
        <v/>
      </c>
      <c r="I145" s="8" t="n"/>
      <c r="J145" s="8" t="n"/>
      <c r="K145" s="8" t="n"/>
    </row>
    <row r="146" ht="18" customHeight="1" s="109">
      <c r="A146" s="12">
        <f>IF(E146="","",IFERROR(VLOOKUP(E146,'📋 Catálogo'!$B$7:$V$41,21,0),""))</f>
        <v/>
      </c>
      <c r="B146" s="72" t="n"/>
      <c r="C146" s="12" t="n"/>
      <c r="D146" s="12" t="n"/>
      <c r="E146" s="12" t="n"/>
      <c r="F146" s="12" t="n"/>
      <c r="G146" s="73" t="n"/>
      <c r="H146" s="39">
        <f>IF(OR(F146="",G146=""),"",F146*G146)</f>
        <v/>
      </c>
      <c r="I146" s="12" t="n"/>
      <c r="J146" s="12" t="n"/>
      <c r="K146" s="12" t="n"/>
    </row>
    <row r="147" ht="18" customHeight="1" s="109">
      <c r="A147" s="8">
        <f>IF(E147="","",IFERROR(VLOOKUP(E147,'📋 Catálogo'!$B$7:$V$41,21,0),""))</f>
        <v/>
      </c>
      <c r="B147" s="70" t="n"/>
      <c r="C147" s="8" t="n"/>
      <c r="D147" s="8" t="n"/>
      <c r="E147" s="8" t="n"/>
      <c r="F147" s="8" t="n"/>
      <c r="G147" s="71" t="n"/>
      <c r="H147" s="39">
        <f>IF(OR(F147="",G147=""),"",F147*G147)</f>
        <v/>
      </c>
      <c r="I147" s="8" t="n"/>
      <c r="J147" s="8" t="n"/>
      <c r="K147" s="8" t="n"/>
    </row>
    <row r="148" ht="18" customHeight="1" s="109">
      <c r="A148" s="12">
        <f>IF(E148="","",IFERROR(VLOOKUP(E148,'📋 Catálogo'!$B$7:$V$41,21,0),""))</f>
        <v/>
      </c>
      <c r="B148" s="72" t="n"/>
      <c r="C148" s="12" t="n"/>
      <c r="D148" s="12" t="n"/>
      <c r="E148" s="12" t="n"/>
      <c r="F148" s="12" t="n"/>
      <c r="G148" s="73" t="n"/>
      <c r="H148" s="39">
        <f>IF(OR(F148="",G148=""),"",F148*G148)</f>
        <v/>
      </c>
      <c r="I148" s="12" t="n"/>
      <c r="J148" s="12" t="n"/>
      <c r="K148" s="12" t="n"/>
    </row>
    <row r="149" ht="18" customHeight="1" s="109">
      <c r="A149" s="8">
        <f>IF(E149="","",IFERROR(VLOOKUP(E149,'📋 Catálogo'!$B$7:$V$41,21,0),""))</f>
        <v/>
      </c>
      <c r="B149" s="70" t="n"/>
      <c r="C149" s="8" t="n"/>
      <c r="D149" s="8" t="n"/>
      <c r="E149" s="8" t="n"/>
      <c r="F149" s="8" t="n"/>
      <c r="G149" s="71" t="n"/>
      <c r="H149" s="39">
        <f>IF(OR(F149="",G149=""),"",F149*G149)</f>
        <v/>
      </c>
      <c r="I149" s="8" t="n"/>
      <c r="J149" s="8" t="n"/>
      <c r="K149" s="8" t="n"/>
    </row>
    <row r="150" ht="18" customHeight="1" s="109">
      <c r="A150" s="12">
        <f>IF(E150="","",IFERROR(VLOOKUP(E150,'📋 Catálogo'!$B$7:$V$41,21,0),""))</f>
        <v/>
      </c>
      <c r="B150" s="72" t="n"/>
      <c r="C150" s="12" t="n"/>
      <c r="D150" s="12" t="n"/>
      <c r="E150" s="12" t="n"/>
      <c r="F150" s="12" t="n"/>
      <c r="G150" s="73" t="n"/>
      <c r="H150" s="39">
        <f>IF(OR(F150="",G150=""),"",F150*G150)</f>
        <v/>
      </c>
      <c r="I150" s="12" t="n"/>
      <c r="J150" s="12" t="n"/>
      <c r="K150" s="12" t="n"/>
    </row>
    <row r="151" ht="18" customHeight="1" s="109">
      <c r="A151" s="8">
        <f>IF(E151="","",IFERROR(VLOOKUP(E151,'📋 Catálogo'!$B$7:$V$41,21,0),""))</f>
        <v/>
      </c>
      <c r="B151" s="70" t="n"/>
      <c r="C151" s="8" t="n"/>
      <c r="D151" s="8" t="n"/>
      <c r="E151" s="8" t="n"/>
      <c r="F151" s="8" t="n"/>
      <c r="G151" s="71" t="n"/>
      <c r="H151" s="39">
        <f>IF(OR(F151="",G151=""),"",F151*G151)</f>
        <v/>
      </c>
      <c r="I151" s="8" t="n"/>
      <c r="J151" s="8" t="n"/>
      <c r="K151" s="8" t="n"/>
    </row>
    <row r="152" ht="18" customHeight="1" s="109">
      <c r="A152" s="12">
        <f>IF(E152="","",IFERROR(VLOOKUP(E152,'📋 Catálogo'!$B$7:$V$41,21,0),""))</f>
        <v/>
      </c>
      <c r="B152" s="72" t="n"/>
      <c r="C152" s="12" t="n"/>
      <c r="D152" s="12" t="n"/>
      <c r="E152" s="12" t="n"/>
      <c r="F152" s="12" t="n"/>
      <c r="G152" s="73" t="n"/>
      <c r="H152" s="39">
        <f>IF(OR(F152="",G152=""),"",F152*G152)</f>
        <v/>
      </c>
      <c r="I152" s="12" t="n"/>
      <c r="J152" s="12" t="n"/>
      <c r="K152" s="12" t="n"/>
    </row>
    <row r="153" ht="18" customHeight="1" s="109">
      <c r="A153" s="8">
        <f>IF(E153="","",IFERROR(VLOOKUP(E153,'📋 Catálogo'!$B$7:$V$41,21,0),""))</f>
        <v/>
      </c>
      <c r="B153" s="70" t="n"/>
      <c r="C153" s="8" t="n"/>
      <c r="D153" s="8" t="n"/>
      <c r="E153" s="8" t="n"/>
      <c r="F153" s="8" t="n"/>
      <c r="G153" s="71" t="n"/>
      <c r="H153" s="39">
        <f>IF(OR(F153="",G153=""),"",F153*G153)</f>
        <v/>
      </c>
      <c r="I153" s="8" t="n"/>
      <c r="J153" s="8" t="n"/>
      <c r="K153" s="8" t="n"/>
    </row>
    <row r="154" ht="18" customHeight="1" s="109">
      <c r="A154" s="12">
        <f>IF(E154="","",IFERROR(VLOOKUP(E154,'📋 Catálogo'!$B$7:$V$41,21,0),""))</f>
        <v/>
      </c>
      <c r="B154" s="72" t="n"/>
      <c r="C154" s="12" t="n"/>
      <c r="D154" s="12" t="n"/>
      <c r="E154" s="12" t="n"/>
      <c r="F154" s="12" t="n"/>
      <c r="G154" s="73" t="n"/>
      <c r="H154" s="39">
        <f>IF(OR(F154="",G154=""),"",F154*G154)</f>
        <v/>
      </c>
      <c r="I154" s="12" t="n"/>
      <c r="J154" s="12" t="n"/>
      <c r="K154" s="12" t="n"/>
    </row>
    <row r="155" ht="18" customHeight="1" s="109">
      <c r="A155" s="8">
        <f>IF(E155="","",IFERROR(VLOOKUP(E155,'📋 Catálogo'!$B$7:$V$41,21,0),""))</f>
        <v/>
      </c>
      <c r="B155" s="70" t="n"/>
      <c r="C155" s="8" t="n"/>
      <c r="D155" s="8" t="n"/>
      <c r="E155" s="8" t="n"/>
      <c r="F155" s="8" t="n"/>
      <c r="G155" s="71" t="n"/>
      <c r="H155" s="39">
        <f>IF(OR(F155="",G155=""),"",F155*G155)</f>
        <v/>
      </c>
      <c r="I155" s="8" t="n"/>
      <c r="J155" s="8" t="n"/>
      <c r="K155" s="8" t="n"/>
    </row>
    <row r="156" ht="18" customHeight="1" s="109">
      <c r="A156" s="12">
        <f>IF(E156="","",IFERROR(VLOOKUP(E156,'📋 Catálogo'!$B$7:$V$41,21,0),""))</f>
        <v/>
      </c>
      <c r="B156" s="72" t="n"/>
      <c r="C156" s="12" t="n"/>
      <c r="D156" s="12" t="n"/>
      <c r="E156" s="12" t="n"/>
      <c r="F156" s="12" t="n"/>
      <c r="G156" s="73" t="n"/>
      <c r="H156" s="39">
        <f>IF(OR(F156="",G156=""),"",F156*G156)</f>
        <v/>
      </c>
      <c r="I156" s="12" t="n"/>
      <c r="J156" s="12" t="n"/>
      <c r="K156" s="12" t="n"/>
    </row>
    <row r="157" ht="18" customHeight="1" s="109">
      <c r="A157" s="8">
        <f>IF(E157="","",IFERROR(VLOOKUP(E157,'📋 Catálogo'!$B$7:$V$41,21,0),""))</f>
        <v/>
      </c>
      <c r="B157" s="70" t="n"/>
      <c r="C157" s="8" t="n"/>
      <c r="D157" s="8" t="n"/>
      <c r="E157" s="8" t="n"/>
      <c r="F157" s="8" t="n"/>
      <c r="G157" s="71" t="n"/>
      <c r="H157" s="39">
        <f>IF(OR(F157="",G157=""),"",F157*G157)</f>
        <v/>
      </c>
      <c r="I157" s="8" t="n"/>
      <c r="J157" s="8" t="n"/>
      <c r="K157" s="8" t="n"/>
    </row>
    <row r="158" ht="18" customHeight="1" s="109">
      <c r="A158" s="12">
        <f>IF(E158="","",IFERROR(VLOOKUP(E158,'📋 Catálogo'!$B$7:$V$41,21,0),""))</f>
        <v/>
      </c>
      <c r="B158" s="72" t="n"/>
      <c r="C158" s="12" t="n"/>
      <c r="D158" s="12" t="n"/>
      <c r="E158" s="12" t="n"/>
      <c r="F158" s="12" t="n"/>
      <c r="G158" s="73" t="n"/>
      <c r="H158" s="39">
        <f>IF(OR(F158="",G158=""),"",F158*G158)</f>
        <v/>
      </c>
      <c r="I158" s="12" t="n"/>
      <c r="J158" s="12" t="n"/>
      <c r="K158" s="12" t="n"/>
    </row>
    <row r="159" ht="18" customHeight="1" s="109">
      <c r="A159" s="8">
        <f>IF(E159="","",IFERROR(VLOOKUP(E159,'📋 Catálogo'!$B$7:$V$41,21,0),""))</f>
        <v/>
      </c>
      <c r="B159" s="70" t="n"/>
      <c r="C159" s="8" t="n"/>
      <c r="D159" s="8" t="n"/>
      <c r="E159" s="8" t="n"/>
      <c r="F159" s="8" t="n"/>
      <c r="G159" s="71" t="n"/>
      <c r="H159" s="39">
        <f>IF(OR(F159="",G159=""),"",F159*G159)</f>
        <v/>
      </c>
      <c r="I159" s="8" t="n"/>
      <c r="J159" s="8" t="n"/>
      <c r="K159" s="8" t="n"/>
    </row>
    <row r="160" ht="18" customHeight="1" s="109">
      <c r="A160" s="12">
        <f>IF(E160="","",IFERROR(VLOOKUP(E160,'📋 Catálogo'!$B$7:$V$41,21,0),""))</f>
        <v/>
      </c>
      <c r="B160" s="72" t="n"/>
      <c r="C160" s="12" t="n"/>
      <c r="D160" s="12" t="n"/>
      <c r="E160" s="12" t="n"/>
      <c r="F160" s="12" t="n"/>
      <c r="G160" s="73" t="n"/>
      <c r="H160" s="39">
        <f>IF(OR(F160="",G160=""),"",F160*G160)</f>
        <v/>
      </c>
      <c r="I160" s="12" t="n"/>
      <c r="J160" s="12" t="n"/>
      <c r="K160" s="12" t="n"/>
    </row>
    <row r="161" ht="18" customHeight="1" s="109">
      <c r="A161" s="8">
        <f>IF(E161="","",IFERROR(VLOOKUP(E161,'📋 Catálogo'!$B$7:$V$41,21,0),""))</f>
        <v/>
      </c>
      <c r="B161" s="70" t="n"/>
      <c r="C161" s="8" t="n"/>
      <c r="D161" s="8" t="n"/>
      <c r="E161" s="8" t="n"/>
      <c r="F161" s="8" t="n"/>
      <c r="G161" s="71" t="n"/>
      <c r="H161" s="39">
        <f>IF(OR(F161="",G161=""),"",F161*G161)</f>
        <v/>
      </c>
      <c r="I161" s="8" t="n"/>
      <c r="J161" s="8" t="n"/>
      <c r="K161" s="8" t="n"/>
    </row>
    <row r="162" ht="18" customHeight="1" s="109">
      <c r="A162" s="12">
        <f>IF(E162="","",IFERROR(VLOOKUP(E162,'📋 Catálogo'!$B$7:$V$41,21,0),""))</f>
        <v/>
      </c>
      <c r="B162" s="72" t="n"/>
      <c r="C162" s="12" t="n"/>
      <c r="D162" s="12" t="n"/>
      <c r="E162" s="12" t="n"/>
      <c r="F162" s="12" t="n"/>
      <c r="G162" s="73" t="n"/>
      <c r="H162" s="39">
        <f>IF(OR(F162="",G162=""),"",F162*G162)</f>
        <v/>
      </c>
      <c r="I162" s="12" t="n"/>
      <c r="J162" s="12" t="n"/>
      <c r="K162" s="12" t="n"/>
    </row>
    <row r="163" ht="18" customHeight="1" s="109">
      <c r="A163" s="8">
        <f>IF(E163="","",IFERROR(VLOOKUP(E163,'📋 Catálogo'!$B$7:$V$41,21,0),""))</f>
        <v/>
      </c>
      <c r="B163" s="70" t="n"/>
      <c r="C163" s="8" t="n"/>
      <c r="D163" s="8" t="n"/>
      <c r="E163" s="8" t="n"/>
      <c r="F163" s="8" t="n"/>
      <c r="G163" s="71" t="n"/>
      <c r="H163" s="39">
        <f>IF(OR(F163="",G163=""),"",F163*G163)</f>
        <v/>
      </c>
      <c r="I163" s="8" t="n"/>
      <c r="J163" s="8" t="n"/>
      <c r="K163" s="8" t="n"/>
    </row>
    <row r="164" ht="18" customHeight="1" s="109">
      <c r="A164" s="12">
        <f>IF(E164="","",IFERROR(VLOOKUP(E164,'📋 Catálogo'!$B$7:$V$41,21,0),""))</f>
        <v/>
      </c>
      <c r="B164" s="72" t="n"/>
      <c r="C164" s="12" t="n"/>
      <c r="D164" s="12" t="n"/>
      <c r="E164" s="12" t="n"/>
      <c r="F164" s="12" t="n"/>
      <c r="G164" s="73" t="n"/>
      <c r="H164" s="39">
        <f>IF(OR(F164="",G164=""),"",F164*G164)</f>
        <v/>
      </c>
      <c r="I164" s="12" t="n"/>
      <c r="J164" s="12" t="n"/>
      <c r="K164" s="12" t="n"/>
    </row>
    <row r="165" ht="18" customHeight="1" s="109">
      <c r="A165" s="8">
        <f>IF(E165="","",IFERROR(VLOOKUP(E165,'📋 Catálogo'!$B$7:$V$41,21,0),""))</f>
        <v/>
      </c>
      <c r="B165" s="70" t="n"/>
      <c r="C165" s="8" t="n"/>
      <c r="D165" s="8" t="n"/>
      <c r="E165" s="8" t="n"/>
      <c r="F165" s="8" t="n"/>
      <c r="G165" s="71" t="n"/>
      <c r="H165" s="39">
        <f>IF(OR(F165="",G165=""),"",F165*G165)</f>
        <v/>
      </c>
      <c r="I165" s="8" t="n"/>
      <c r="J165" s="8" t="n"/>
      <c r="K165" s="8" t="n"/>
    </row>
    <row r="166" ht="18" customHeight="1" s="109">
      <c r="A166" s="12">
        <f>IF(E166="","",IFERROR(VLOOKUP(E166,'📋 Catálogo'!$B$7:$V$41,21,0),""))</f>
        <v/>
      </c>
      <c r="B166" s="72" t="n"/>
      <c r="C166" s="12" t="n"/>
      <c r="D166" s="12" t="n"/>
      <c r="E166" s="12" t="n"/>
      <c r="F166" s="12" t="n"/>
      <c r="G166" s="73" t="n"/>
      <c r="H166" s="39">
        <f>IF(OR(F166="",G166=""),"",F166*G166)</f>
        <v/>
      </c>
      <c r="I166" s="12" t="n"/>
      <c r="J166" s="12" t="n"/>
      <c r="K166" s="12" t="n"/>
    </row>
    <row r="167" ht="18" customHeight="1" s="109">
      <c r="A167" s="8">
        <f>IF(E167="","",IFERROR(VLOOKUP(E167,'📋 Catálogo'!$B$7:$V$41,21,0),""))</f>
        <v/>
      </c>
      <c r="B167" s="70" t="n"/>
      <c r="C167" s="8" t="n"/>
      <c r="D167" s="8" t="n"/>
      <c r="E167" s="8" t="n"/>
      <c r="F167" s="8" t="n"/>
      <c r="G167" s="71" t="n"/>
      <c r="H167" s="39">
        <f>IF(OR(F167="",G167=""),"",F167*G167)</f>
        <v/>
      </c>
      <c r="I167" s="8" t="n"/>
      <c r="J167" s="8" t="n"/>
      <c r="K167" s="8" t="n"/>
    </row>
    <row r="168" ht="18" customHeight="1" s="109">
      <c r="A168" s="12">
        <f>IF(E168="","",IFERROR(VLOOKUP(E168,'📋 Catálogo'!$B$7:$V$41,21,0),""))</f>
        <v/>
      </c>
      <c r="B168" s="72" t="n"/>
      <c r="C168" s="12" t="n"/>
      <c r="D168" s="12" t="n"/>
      <c r="E168" s="12" t="n"/>
      <c r="F168" s="12" t="n"/>
      <c r="G168" s="73" t="n"/>
      <c r="H168" s="39">
        <f>IF(OR(F168="",G168=""),"",F168*G168)</f>
        <v/>
      </c>
      <c r="I168" s="12" t="n"/>
      <c r="J168" s="12" t="n"/>
      <c r="K168" s="12" t="n"/>
    </row>
    <row r="169" ht="18" customHeight="1" s="109">
      <c r="A169" s="8">
        <f>IF(E169="","",IFERROR(VLOOKUP(E169,'📋 Catálogo'!$B$7:$V$41,21,0),""))</f>
        <v/>
      </c>
      <c r="B169" s="70" t="n"/>
      <c r="C169" s="8" t="n"/>
      <c r="D169" s="8" t="n"/>
      <c r="E169" s="8" t="n"/>
      <c r="F169" s="8" t="n"/>
      <c r="G169" s="71" t="n"/>
      <c r="H169" s="39">
        <f>IF(OR(F169="",G169=""),"",F169*G169)</f>
        <v/>
      </c>
      <c r="I169" s="8" t="n"/>
      <c r="J169" s="8" t="n"/>
      <c r="K169" s="8" t="n"/>
    </row>
    <row r="170" ht="18" customHeight="1" s="109">
      <c r="A170" s="12">
        <f>IF(E170="","",IFERROR(VLOOKUP(E170,'📋 Catálogo'!$B$7:$V$41,21,0),""))</f>
        <v/>
      </c>
      <c r="B170" s="72" t="n"/>
      <c r="C170" s="12" t="n"/>
      <c r="D170" s="12" t="n"/>
      <c r="E170" s="12" t="n"/>
      <c r="F170" s="12" t="n"/>
      <c r="G170" s="73" t="n"/>
      <c r="H170" s="39">
        <f>IF(OR(F170="",G170=""),"",F170*G170)</f>
        <v/>
      </c>
      <c r="I170" s="12" t="n"/>
      <c r="J170" s="12" t="n"/>
      <c r="K170" s="12" t="n"/>
    </row>
    <row r="171" ht="18" customHeight="1" s="109">
      <c r="A171" s="8">
        <f>IF(E171="","",IFERROR(VLOOKUP(E171,'📋 Catálogo'!$B$7:$V$41,21,0),""))</f>
        <v/>
      </c>
      <c r="B171" s="70" t="n"/>
      <c r="C171" s="8" t="n"/>
      <c r="D171" s="8" t="n"/>
      <c r="E171" s="8" t="n"/>
      <c r="F171" s="8" t="n"/>
      <c r="G171" s="71" t="n"/>
      <c r="H171" s="39">
        <f>IF(OR(F171="",G171=""),"",F171*G171)</f>
        <v/>
      </c>
      <c r="I171" s="8" t="n"/>
      <c r="J171" s="8" t="n"/>
      <c r="K171" s="8" t="n"/>
    </row>
    <row r="172" ht="18" customHeight="1" s="109">
      <c r="A172" s="12">
        <f>IF(E172="","",IFERROR(VLOOKUP(E172,'📋 Catálogo'!$B$7:$V$41,21,0),""))</f>
        <v/>
      </c>
      <c r="B172" s="72" t="n"/>
      <c r="C172" s="12" t="n"/>
      <c r="D172" s="12" t="n"/>
      <c r="E172" s="12" t="n"/>
      <c r="F172" s="12" t="n"/>
      <c r="G172" s="73" t="n"/>
      <c r="H172" s="39">
        <f>IF(OR(F172="",G172=""),"",F172*G172)</f>
        <v/>
      </c>
      <c r="I172" s="12" t="n"/>
      <c r="J172" s="12" t="n"/>
      <c r="K172" s="12" t="n"/>
    </row>
    <row r="173" ht="18" customHeight="1" s="109">
      <c r="A173" s="8">
        <f>IF(E173="","",IFERROR(VLOOKUP(E173,'📋 Catálogo'!$B$7:$V$41,21,0),""))</f>
        <v/>
      </c>
      <c r="B173" s="70" t="n"/>
      <c r="C173" s="8" t="n"/>
      <c r="D173" s="8" t="n"/>
      <c r="E173" s="8" t="n"/>
      <c r="F173" s="8" t="n"/>
      <c r="G173" s="71" t="n"/>
      <c r="H173" s="39">
        <f>IF(OR(F173="",G173=""),"",F173*G173)</f>
        <v/>
      </c>
      <c r="I173" s="8" t="n"/>
      <c r="J173" s="8" t="n"/>
      <c r="K173" s="8" t="n"/>
    </row>
    <row r="174" ht="18" customHeight="1" s="109">
      <c r="A174" s="12">
        <f>IF(E174="","",IFERROR(VLOOKUP(E174,'📋 Catálogo'!$B$7:$V$41,21,0),""))</f>
        <v/>
      </c>
      <c r="B174" s="72" t="n"/>
      <c r="C174" s="12" t="n"/>
      <c r="D174" s="12" t="n"/>
      <c r="E174" s="12" t="n"/>
      <c r="F174" s="12" t="n"/>
      <c r="G174" s="73" t="n"/>
      <c r="H174" s="39">
        <f>IF(OR(F174="",G174=""),"",F174*G174)</f>
        <v/>
      </c>
      <c r="I174" s="12" t="n"/>
      <c r="J174" s="12" t="n"/>
      <c r="K174" s="12" t="n"/>
    </row>
    <row r="175" ht="18" customHeight="1" s="109">
      <c r="A175" s="8">
        <f>IF(E175="","",IFERROR(VLOOKUP(E175,'📋 Catálogo'!$B$7:$V$41,21,0),""))</f>
        <v/>
      </c>
      <c r="B175" s="70" t="n"/>
      <c r="C175" s="8" t="n"/>
      <c r="D175" s="8" t="n"/>
      <c r="E175" s="8" t="n"/>
      <c r="F175" s="8" t="n"/>
      <c r="G175" s="71" t="n"/>
      <c r="H175" s="39">
        <f>IF(OR(F175="",G175=""),"",F175*G175)</f>
        <v/>
      </c>
      <c r="I175" s="8" t="n"/>
      <c r="J175" s="8" t="n"/>
      <c r="K175" s="8" t="n"/>
    </row>
    <row r="176" ht="18" customHeight="1" s="109">
      <c r="A176" s="12">
        <f>IF(E176="","",IFERROR(VLOOKUP(E176,'📋 Catálogo'!$B$7:$V$41,21,0),""))</f>
        <v/>
      </c>
      <c r="B176" s="72" t="n"/>
      <c r="C176" s="12" t="n"/>
      <c r="D176" s="12" t="n"/>
      <c r="E176" s="12" t="n"/>
      <c r="F176" s="12" t="n"/>
      <c r="G176" s="73" t="n"/>
      <c r="H176" s="39">
        <f>IF(OR(F176="",G176=""),"",F176*G176)</f>
        <v/>
      </c>
      <c r="I176" s="12" t="n"/>
      <c r="J176" s="12" t="n"/>
      <c r="K176" s="12" t="n"/>
    </row>
    <row r="177" ht="18" customHeight="1" s="109">
      <c r="A177" s="8">
        <f>IF(E177="","",IFERROR(VLOOKUP(E177,'📋 Catálogo'!$B$7:$V$41,21,0),""))</f>
        <v/>
      </c>
      <c r="B177" s="70" t="n"/>
      <c r="C177" s="8" t="n"/>
      <c r="D177" s="8" t="n"/>
      <c r="E177" s="8" t="n"/>
      <c r="F177" s="8" t="n"/>
      <c r="G177" s="71" t="n"/>
      <c r="H177" s="39">
        <f>IF(OR(F177="",G177=""),"",F177*G177)</f>
        <v/>
      </c>
      <c r="I177" s="8" t="n"/>
      <c r="J177" s="8" t="n"/>
      <c r="K177" s="8" t="n"/>
    </row>
    <row r="178" ht="18" customHeight="1" s="109">
      <c r="A178" s="12">
        <f>IF(E178="","",IFERROR(VLOOKUP(E178,'📋 Catálogo'!$B$7:$V$41,21,0),""))</f>
        <v/>
      </c>
      <c r="B178" s="72" t="n"/>
      <c r="C178" s="12" t="n"/>
      <c r="D178" s="12" t="n"/>
      <c r="E178" s="12" t="n"/>
      <c r="F178" s="12" t="n"/>
      <c r="G178" s="73" t="n"/>
      <c r="H178" s="39">
        <f>IF(OR(F178="",G178=""),"",F178*G178)</f>
        <v/>
      </c>
      <c r="I178" s="12" t="n"/>
      <c r="J178" s="12" t="n"/>
      <c r="K178" s="12" t="n"/>
    </row>
    <row r="179" ht="18" customHeight="1" s="109">
      <c r="A179" s="8">
        <f>IF(E179="","",IFERROR(VLOOKUP(E179,'📋 Catálogo'!$B$7:$V$41,21,0),""))</f>
        <v/>
      </c>
      <c r="B179" s="70" t="n"/>
      <c r="C179" s="8" t="n"/>
      <c r="D179" s="8" t="n"/>
      <c r="E179" s="8" t="n"/>
      <c r="F179" s="8" t="n"/>
      <c r="G179" s="71" t="n"/>
      <c r="H179" s="39">
        <f>IF(OR(F179="",G179=""),"",F179*G179)</f>
        <v/>
      </c>
      <c r="I179" s="8" t="n"/>
      <c r="J179" s="8" t="n"/>
      <c r="K179" s="8" t="n"/>
    </row>
    <row r="180" ht="18" customHeight="1" s="109">
      <c r="A180" s="12">
        <f>IF(E180="","",IFERROR(VLOOKUP(E180,'📋 Catálogo'!$B$7:$V$41,21,0),""))</f>
        <v/>
      </c>
      <c r="B180" s="72" t="n"/>
      <c r="C180" s="12" t="n"/>
      <c r="D180" s="12" t="n"/>
      <c r="E180" s="12" t="n"/>
      <c r="F180" s="12" t="n"/>
      <c r="G180" s="73" t="n"/>
      <c r="H180" s="39">
        <f>IF(OR(F180="",G180=""),"",F180*G180)</f>
        <v/>
      </c>
      <c r="I180" s="12" t="n"/>
      <c r="J180" s="12" t="n"/>
      <c r="K180" s="12" t="n"/>
    </row>
    <row r="181" ht="18" customHeight="1" s="109">
      <c r="A181" s="8">
        <f>IF(E181="","",IFERROR(VLOOKUP(E181,'📋 Catálogo'!$B$7:$V$41,21,0),""))</f>
        <v/>
      </c>
      <c r="B181" s="70" t="n"/>
      <c r="C181" s="8" t="n"/>
      <c r="D181" s="8" t="n"/>
      <c r="E181" s="8" t="n"/>
      <c r="F181" s="8" t="n"/>
      <c r="G181" s="71" t="n"/>
      <c r="H181" s="39">
        <f>IF(OR(F181="",G181=""),"",F181*G181)</f>
        <v/>
      </c>
      <c r="I181" s="8" t="n"/>
      <c r="J181" s="8" t="n"/>
      <c r="K181" s="8" t="n"/>
    </row>
    <row r="182" ht="18" customHeight="1" s="109">
      <c r="A182" s="12">
        <f>IF(E182="","",IFERROR(VLOOKUP(E182,'📋 Catálogo'!$B$7:$V$41,21,0),""))</f>
        <v/>
      </c>
      <c r="B182" s="72" t="n"/>
      <c r="C182" s="12" t="n"/>
      <c r="D182" s="12" t="n"/>
      <c r="E182" s="12" t="n"/>
      <c r="F182" s="12" t="n"/>
      <c r="G182" s="73" t="n"/>
      <c r="H182" s="39">
        <f>IF(OR(F182="",G182=""),"",F182*G182)</f>
        <v/>
      </c>
      <c r="I182" s="12" t="n"/>
      <c r="J182" s="12" t="n"/>
      <c r="K182" s="12" t="n"/>
    </row>
    <row r="183" ht="18" customHeight="1" s="109">
      <c r="A183" s="8">
        <f>IF(E183="","",IFERROR(VLOOKUP(E183,'📋 Catálogo'!$B$7:$V$41,21,0),""))</f>
        <v/>
      </c>
      <c r="B183" s="70" t="n"/>
      <c r="C183" s="8" t="n"/>
      <c r="D183" s="8" t="n"/>
      <c r="E183" s="8" t="n"/>
      <c r="F183" s="8" t="n"/>
      <c r="G183" s="71" t="n"/>
      <c r="H183" s="39">
        <f>IF(OR(F183="",G183=""),"",F183*G183)</f>
        <v/>
      </c>
      <c r="I183" s="8" t="n"/>
      <c r="J183" s="8" t="n"/>
      <c r="K183" s="8" t="n"/>
    </row>
    <row r="184" ht="18" customHeight="1" s="109">
      <c r="A184" s="12">
        <f>IF(E184="","",IFERROR(VLOOKUP(E184,'📋 Catálogo'!$B$7:$V$41,21,0),""))</f>
        <v/>
      </c>
      <c r="B184" s="72" t="n"/>
      <c r="C184" s="12" t="n"/>
      <c r="D184" s="12" t="n"/>
      <c r="E184" s="12" t="n"/>
      <c r="F184" s="12" t="n"/>
      <c r="G184" s="73" t="n"/>
      <c r="H184" s="39">
        <f>IF(OR(F184="",G184=""),"",F184*G184)</f>
        <v/>
      </c>
      <c r="I184" s="12" t="n"/>
      <c r="J184" s="12" t="n"/>
      <c r="K184" s="12" t="n"/>
    </row>
    <row r="185" ht="18" customHeight="1" s="109">
      <c r="A185" s="8">
        <f>IF(E185="","",IFERROR(VLOOKUP(E185,'📋 Catálogo'!$B$7:$V$41,21,0),""))</f>
        <v/>
      </c>
      <c r="B185" s="70" t="n"/>
      <c r="C185" s="8" t="n"/>
      <c r="D185" s="8" t="n"/>
      <c r="E185" s="8" t="n"/>
      <c r="F185" s="8" t="n"/>
      <c r="G185" s="71" t="n"/>
      <c r="H185" s="39">
        <f>IF(OR(F185="",G185=""),"",F185*G185)</f>
        <v/>
      </c>
      <c r="I185" s="8" t="n"/>
      <c r="J185" s="8" t="n"/>
      <c r="K185" s="8" t="n"/>
    </row>
    <row r="186" ht="18" customHeight="1" s="109">
      <c r="A186" s="12">
        <f>IF(E186="","",IFERROR(VLOOKUP(E186,'📋 Catálogo'!$B$7:$V$41,21,0),""))</f>
        <v/>
      </c>
      <c r="B186" s="72" t="n"/>
      <c r="C186" s="12" t="n"/>
      <c r="D186" s="12" t="n"/>
      <c r="E186" s="12" t="n"/>
      <c r="F186" s="12" t="n"/>
      <c r="G186" s="73" t="n"/>
      <c r="H186" s="39">
        <f>IF(OR(F186="",G186=""),"",F186*G186)</f>
        <v/>
      </c>
      <c r="I186" s="12" t="n"/>
      <c r="J186" s="12" t="n"/>
      <c r="K186" s="12" t="n"/>
    </row>
    <row r="187" ht="18" customHeight="1" s="109">
      <c r="A187" s="8">
        <f>IF(E187="","",IFERROR(VLOOKUP(E187,'📋 Catálogo'!$B$7:$V$41,21,0),""))</f>
        <v/>
      </c>
      <c r="B187" s="70" t="n"/>
      <c r="C187" s="8" t="n"/>
      <c r="D187" s="8" t="n"/>
      <c r="E187" s="8" t="n"/>
      <c r="F187" s="8" t="n"/>
      <c r="G187" s="71" t="n"/>
      <c r="H187" s="39">
        <f>IF(OR(F187="",G187=""),"",F187*G187)</f>
        <v/>
      </c>
      <c r="I187" s="8" t="n"/>
      <c r="J187" s="8" t="n"/>
      <c r="K187" s="8" t="n"/>
    </row>
    <row r="188" ht="18" customHeight="1" s="109">
      <c r="A188" s="12">
        <f>IF(E188="","",IFERROR(VLOOKUP(E188,'📋 Catálogo'!$B$7:$V$41,21,0),""))</f>
        <v/>
      </c>
      <c r="B188" s="72" t="n"/>
      <c r="C188" s="12" t="n"/>
      <c r="D188" s="12" t="n"/>
      <c r="E188" s="12" t="n"/>
      <c r="F188" s="12" t="n"/>
      <c r="G188" s="73" t="n"/>
      <c r="H188" s="39">
        <f>IF(OR(F188="",G188=""),"",F188*G188)</f>
        <v/>
      </c>
      <c r="I188" s="12" t="n"/>
      <c r="J188" s="12" t="n"/>
      <c r="K188" s="12" t="n"/>
    </row>
    <row r="189" ht="18" customHeight="1" s="109">
      <c r="A189" s="8">
        <f>IF(E189="","",IFERROR(VLOOKUP(E189,'📋 Catálogo'!$B$7:$V$41,21,0),""))</f>
        <v/>
      </c>
      <c r="B189" s="70" t="n"/>
      <c r="C189" s="8" t="n"/>
      <c r="D189" s="8" t="n"/>
      <c r="E189" s="8" t="n"/>
      <c r="F189" s="8" t="n"/>
      <c r="G189" s="71" t="n"/>
      <c r="H189" s="39">
        <f>IF(OR(F189="",G189=""),"",F189*G189)</f>
        <v/>
      </c>
      <c r="I189" s="8" t="n"/>
      <c r="J189" s="8" t="n"/>
      <c r="K189" s="8" t="n"/>
    </row>
    <row r="190" ht="18" customHeight="1" s="109">
      <c r="A190" s="12">
        <f>IF(E190="","",IFERROR(VLOOKUP(E190,'📋 Catálogo'!$B$7:$V$41,21,0),""))</f>
        <v/>
      </c>
      <c r="B190" s="72" t="n"/>
      <c r="C190" s="12" t="n"/>
      <c r="D190" s="12" t="n"/>
      <c r="E190" s="12" t="n"/>
      <c r="F190" s="12" t="n"/>
      <c r="G190" s="73" t="n"/>
      <c r="H190" s="39">
        <f>IF(OR(F190="",G190=""),"",F190*G190)</f>
        <v/>
      </c>
      <c r="I190" s="12" t="n"/>
      <c r="J190" s="12" t="n"/>
      <c r="K190" s="12" t="n"/>
    </row>
    <row r="191" ht="18" customHeight="1" s="109">
      <c r="A191" s="8">
        <f>IF(E191="","",IFERROR(VLOOKUP(E191,'📋 Catálogo'!$B$7:$V$41,21,0),""))</f>
        <v/>
      </c>
      <c r="B191" s="70" t="n"/>
      <c r="C191" s="8" t="n"/>
      <c r="D191" s="8" t="n"/>
      <c r="E191" s="8" t="n"/>
      <c r="F191" s="8" t="n"/>
      <c r="G191" s="71" t="n"/>
      <c r="H191" s="39">
        <f>IF(OR(F191="",G191=""),"",F191*G191)</f>
        <v/>
      </c>
      <c r="I191" s="8" t="n"/>
      <c r="J191" s="8" t="n"/>
      <c r="K191" s="8" t="n"/>
    </row>
    <row r="192" ht="18" customHeight="1" s="109">
      <c r="A192" s="12">
        <f>IF(E192="","",IFERROR(VLOOKUP(E192,'📋 Catálogo'!$B$7:$V$41,21,0),""))</f>
        <v/>
      </c>
      <c r="B192" s="72" t="n"/>
      <c r="C192" s="12" t="n"/>
      <c r="D192" s="12" t="n"/>
      <c r="E192" s="12" t="n"/>
      <c r="F192" s="12" t="n"/>
      <c r="G192" s="73" t="n"/>
      <c r="H192" s="39">
        <f>IF(OR(F192="",G192=""),"",F192*G192)</f>
        <v/>
      </c>
      <c r="I192" s="12" t="n"/>
      <c r="J192" s="12" t="n"/>
      <c r="K192" s="12" t="n"/>
    </row>
    <row r="193" ht="18" customHeight="1" s="109">
      <c r="A193" s="8">
        <f>IF(E193="","",IFERROR(VLOOKUP(E193,'📋 Catálogo'!$B$7:$V$41,21,0),""))</f>
        <v/>
      </c>
      <c r="B193" s="70" t="n"/>
      <c r="C193" s="8" t="n"/>
      <c r="D193" s="8" t="n"/>
      <c r="E193" s="8" t="n"/>
      <c r="F193" s="8" t="n"/>
      <c r="G193" s="71" t="n"/>
      <c r="H193" s="39">
        <f>IF(OR(F193="",G193=""),"",F193*G193)</f>
        <v/>
      </c>
      <c r="I193" s="8" t="n"/>
      <c r="J193" s="8" t="n"/>
      <c r="K193" s="8" t="n"/>
    </row>
    <row r="194" ht="18" customHeight="1" s="109">
      <c r="A194" s="12">
        <f>IF(E194="","",IFERROR(VLOOKUP(E194,'📋 Catálogo'!$B$7:$V$41,21,0),""))</f>
        <v/>
      </c>
      <c r="B194" s="72" t="n"/>
      <c r="C194" s="12" t="n"/>
      <c r="D194" s="12" t="n"/>
      <c r="E194" s="12" t="n"/>
      <c r="F194" s="12" t="n"/>
      <c r="G194" s="73" t="n"/>
      <c r="H194" s="39">
        <f>IF(OR(F194="",G194=""),"",F194*G194)</f>
        <v/>
      </c>
      <c r="I194" s="12" t="n"/>
      <c r="J194" s="12" t="n"/>
      <c r="K194" s="12" t="n"/>
    </row>
    <row r="195" ht="18" customHeight="1" s="109">
      <c r="A195" s="8">
        <f>IF(E195="","",IFERROR(VLOOKUP(E195,'📋 Catálogo'!$B$7:$V$41,21,0),""))</f>
        <v/>
      </c>
      <c r="B195" s="70" t="n"/>
      <c r="C195" s="8" t="n"/>
      <c r="D195" s="8" t="n"/>
      <c r="E195" s="8" t="n"/>
      <c r="F195" s="8" t="n"/>
      <c r="G195" s="71" t="n"/>
      <c r="H195" s="39">
        <f>IF(OR(F195="",G195=""),"",F195*G195)</f>
        <v/>
      </c>
      <c r="I195" s="8" t="n"/>
      <c r="J195" s="8" t="n"/>
      <c r="K195" s="8" t="n"/>
    </row>
    <row r="196" ht="18" customHeight="1" s="109">
      <c r="A196" s="12">
        <f>IF(E196="","",IFERROR(VLOOKUP(E196,'📋 Catálogo'!$B$7:$V$41,21,0),""))</f>
        <v/>
      </c>
      <c r="B196" s="72" t="n"/>
      <c r="C196" s="12" t="n"/>
      <c r="D196" s="12" t="n"/>
      <c r="E196" s="12" t="n"/>
      <c r="F196" s="12" t="n"/>
      <c r="G196" s="73" t="n"/>
      <c r="H196" s="39">
        <f>IF(OR(F196="",G196=""),"",F196*G196)</f>
        <v/>
      </c>
      <c r="I196" s="12" t="n"/>
      <c r="J196" s="12" t="n"/>
      <c r="K196" s="12" t="n"/>
    </row>
    <row r="197" ht="18" customHeight="1" s="109">
      <c r="A197" s="8">
        <f>IF(E197="","",IFERROR(VLOOKUP(E197,'📋 Catálogo'!$B$7:$V$41,21,0),""))</f>
        <v/>
      </c>
      <c r="B197" s="70" t="n"/>
      <c r="C197" s="8" t="n"/>
      <c r="D197" s="8" t="n"/>
      <c r="E197" s="8" t="n"/>
      <c r="F197" s="8" t="n"/>
      <c r="G197" s="71" t="n"/>
      <c r="H197" s="39">
        <f>IF(OR(F197="",G197=""),"",F197*G197)</f>
        <v/>
      </c>
      <c r="I197" s="8" t="n"/>
      <c r="J197" s="8" t="n"/>
      <c r="K197" s="8" t="n"/>
    </row>
    <row r="198" ht="18" customHeight="1" s="109">
      <c r="A198" s="12">
        <f>IF(E198="","",IFERROR(VLOOKUP(E198,'📋 Catálogo'!$B$7:$V$41,21,0),""))</f>
        <v/>
      </c>
      <c r="B198" s="72" t="n"/>
      <c r="C198" s="12" t="n"/>
      <c r="D198" s="12" t="n"/>
      <c r="E198" s="12" t="n"/>
      <c r="F198" s="12" t="n"/>
      <c r="G198" s="73" t="n"/>
      <c r="H198" s="39">
        <f>IF(OR(F198="",G198=""),"",F198*G198)</f>
        <v/>
      </c>
      <c r="I198" s="12" t="n"/>
      <c r="J198" s="12" t="n"/>
      <c r="K198" s="12" t="n"/>
    </row>
    <row r="199" ht="18" customHeight="1" s="109">
      <c r="A199" s="8">
        <f>IF(E199="","",IFERROR(VLOOKUP(E199,'📋 Catálogo'!$B$7:$V$41,21,0),""))</f>
        <v/>
      </c>
      <c r="B199" s="70" t="n"/>
      <c r="C199" s="8" t="n"/>
      <c r="D199" s="8" t="n"/>
      <c r="E199" s="8" t="n"/>
      <c r="F199" s="8" t="n"/>
      <c r="G199" s="71" t="n"/>
      <c r="H199" s="39">
        <f>IF(OR(F199="",G199=""),"",F199*G199)</f>
        <v/>
      </c>
      <c r="I199" s="8" t="n"/>
      <c r="J199" s="8" t="n"/>
      <c r="K199" s="8" t="n"/>
    </row>
    <row r="200" ht="18" customHeight="1" s="109">
      <c r="A200" s="12">
        <f>IF(E200="","",IFERROR(VLOOKUP(E200,'📋 Catálogo'!$B$7:$V$41,21,0),""))</f>
        <v/>
      </c>
      <c r="B200" s="72" t="n"/>
      <c r="C200" s="12" t="n"/>
      <c r="D200" s="12" t="n"/>
      <c r="E200" s="12" t="n"/>
      <c r="F200" s="12" t="n"/>
      <c r="G200" s="73" t="n"/>
      <c r="H200" s="39">
        <f>IF(OR(F200="",G200=""),"",F200*G200)</f>
        <v/>
      </c>
      <c r="I200" s="12" t="n"/>
      <c r="J200" s="12" t="n"/>
      <c r="K200" s="12" t="n"/>
    </row>
    <row r="201" ht="18" customHeight="1" s="109">
      <c r="A201" s="8">
        <f>IF(E201="","",IFERROR(VLOOKUP(E201,'📋 Catálogo'!$B$7:$V$41,21,0),""))</f>
        <v/>
      </c>
      <c r="B201" s="70" t="n"/>
      <c r="C201" s="8" t="n"/>
      <c r="D201" s="8" t="n"/>
      <c r="E201" s="8" t="n"/>
      <c r="F201" s="8" t="n"/>
      <c r="G201" s="71" t="n"/>
      <c r="H201" s="39">
        <f>IF(OR(F201="",G201=""),"",F201*G201)</f>
        <v/>
      </c>
      <c r="I201" s="8" t="n"/>
      <c r="J201" s="8" t="n"/>
      <c r="K201" s="8" t="n"/>
    </row>
    <row r="202" ht="18" customHeight="1" s="109">
      <c r="A202" s="12">
        <f>IF(E202="","",IFERROR(VLOOKUP(E202,'📋 Catálogo'!$B$7:$V$41,21,0),""))</f>
        <v/>
      </c>
      <c r="B202" s="72" t="n"/>
      <c r="C202" s="12" t="n"/>
      <c r="D202" s="12" t="n"/>
      <c r="E202" s="12" t="n"/>
      <c r="F202" s="12" t="n"/>
      <c r="G202" s="73" t="n"/>
      <c r="H202" s="39">
        <f>IF(OR(F202="",G202=""),"",F202*G202)</f>
        <v/>
      </c>
      <c r="I202" s="12" t="n"/>
      <c r="J202" s="12" t="n"/>
      <c r="K202" s="12" t="n"/>
    </row>
    <row r="203" ht="18" customHeight="1" s="109">
      <c r="A203" s="8">
        <f>IF(E203="","",IFERROR(VLOOKUP(E203,'📋 Catálogo'!$B$7:$V$41,21,0),""))</f>
        <v/>
      </c>
      <c r="B203" s="70" t="n"/>
      <c r="C203" s="8" t="n"/>
      <c r="D203" s="8" t="n"/>
      <c r="E203" s="8" t="n"/>
      <c r="F203" s="8" t="n"/>
      <c r="G203" s="71" t="n"/>
      <c r="H203" s="39">
        <f>IF(OR(F203="",G203=""),"",F203*G203)</f>
        <v/>
      </c>
      <c r="I203" s="8" t="n"/>
      <c r="J203" s="8" t="n"/>
      <c r="K203" s="8" t="n"/>
    </row>
    <row r="204" ht="18" customHeight="1" s="109">
      <c r="A204" s="12">
        <f>IF(E204="","",IFERROR(VLOOKUP(E204,'📋 Catálogo'!$B$7:$V$41,21,0),""))</f>
        <v/>
      </c>
      <c r="B204" s="72" t="n"/>
      <c r="C204" s="12" t="n"/>
      <c r="D204" s="12" t="n"/>
      <c r="E204" s="12" t="n"/>
      <c r="F204" s="12" t="n"/>
      <c r="G204" s="73" t="n"/>
      <c r="H204" s="39">
        <f>IF(OR(F204="",G204=""),"",F204*G204)</f>
        <v/>
      </c>
      <c r="I204" s="12" t="n"/>
      <c r="J204" s="12" t="n"/>
      <c r="K204" s="12" t="n"/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K2"/>
    <mergeCell ref="B1:K1"/>
  </mergeCells>
  <dataValidations count="2">
    <dataValidation sqref="J5:J204" showDropDown="0" showInputMessage="0" showErrorMessage="0" allowBlank="1" type="list">
      <formula1>"Aguardando,Em produção,Pronto,Entregue,Cancelado"</formula1>
    </dataValidation>
    <dataValidation sqref="I5:I204" showDropDown="0" showInputMessage="0" showErrorMessage="0" allowBlank="1" type="list">
      <formula1>"Varejo,Atacado"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12" customWidth="1" style="109" min="3" max="3"/>
    <col width="20" customWidth="1" style="109" min="4" max="4"/>
    <col width="28" customWidth="1" style="109" min="5" max="5"/>
    <col width="10" customWidth="1" style="109" min="6" max="6"/>
    <col width="12" customWidth="1" style="109" min="7" max="8"/>
    <col width="10" customWidth="1" style="109" min="9" max="9"/>
    <col width="8" customWidth="1" style="109" min="10" max="11"/>
    <col width="8.710000000000001" customWidth="1" style="109" min="12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118" t="inlineStr">
        <is>
          <t>🖨️  APENAS o que precisa ser FABRICADO (Pedido − Estoque disponível)</t>
        </is>
      </c>
      <c r="B4" s="114" t="n"/>
      <c r="C4" s="114" t="n"/>
      <c r="D4" s="114" t="n"/>
      <c r="E4" s="114" t="n"/>
      <c r="F4" s="114" t="n"/>
      <c r="G4" s="114" t="n"/>
      <c r="H4" s="114" t="n"/>
      <c r="I4" s="114" t="n"/>
      <c r="J4" s="114" t="n"/>
      <c r="K4" s="115" t="n"/>
    </row>
    <row r="5" ht="21.75" customHeight="1" s="109">
      <c r="A5" s="7" t="inlineStr">
        <is>
          <t>SKU</t>
        </is>
      </c>
      <c r="B5" s="7" t="inlineStr">
        <is>
          <t>Data</t>
        </is>
      </c>
      <c r="C5" s="7" t="inlineStr">
        <is>
          <t>Cliente</t>
        </is>
      </c>
      <c r="D5" s="7" t="inlineStr">
        <is>
          <t>Produto</t>
        </is>
      </c>
      <c r="E5" s="7" t="inlineStr">
        <is>
          <t>Qtd Pedida</t>
        </is>
      </c>
      <c r="F5" s="7" t="inlineStr">
        <is>
          <t>Qtd Estoque</t>
        </is>
      </c>
      <c r="G5" s="75" t="inlineStr">
        <is>
          <t>A FABRICAR</t>
        </is>
      </c>
      <c r="H5" s="7" t="inlineStr">
        <is>
          <t>Máquina</t>
        </is>
      </c>
      <c r="I5" s="7" t="inlineStr">
        <is>
          <t>Bico</t>
        </is>
      </c>
      <c r="J5" s="7" t="inlineStr">
        <is>
          <t>Horas</t>
        </is>
      </c>
      <c r="K5" s="7" t="inlineStr">
        <is>
          <t>Status</t>
        </is>
      </c>
    </row>
    <row r="6" ht="18" customHeight="1" s="109">
      <c r="A6" s="8" t="n"/>
      <c r="B6" s="70" t="n"/>
      <c r="C6" s="8" t="n"/>
      <c r="D6" s="8" t="n"/>
      <c r="E6" s="33" t="n"/>
      <c r="F6" s="33" t="n"/>
      <c r="G6" s="76">
        <f>IF(D6="","",MAX(0,E6-F6))</f>
        <v/>
      </c>
      <c r="H6" s="33" t="n"/>
      <c r="I6" s="33">
        <f>IF(D6="","",IFERROR(VLOOKUP(D6,'📋 Catálogo'!$B$7:$L$41,11,0),""))</f>
        <v/>
      </c>
      <c r="J6" s="33">
        <f>IF(D6="","",IFERROR(VLOOKUP(D6,'📋 Catálogo'!$B$7:$L$41,10,0),""))</f>
        <v/>
      </c>
      <c r="K6" s="33" t="n"/>
    </row>
    <row r="7" ht="18" customHeight="1" s="109">
      <c r="A7" s="12" t="n"/>
      <c r="B7" s="72" t="n"/>
      <c r="C7" s="12" t="n"/>
      <c r="D7" s="12" t="n"/>
      <c r="E7" s="46" t="n"/>
      <c r="F7" s="46" t="n"/>
      <c r="G7" s="76">
        <f>IF(D7="","",MAX(0,E7-F7))</f>
        <v/>
      </c>
      <c r="H7" s="46" t="n"/>
      <c r="I7" s="46">
        <f>IF(D7="","",IFERROR(VLOOKUP(D7,'📋 Catálogo'!$B$7:$L$41,11,0),""))</f>
        <v/>
      </c>
      <c r="J7" s="46">
        <f>IF(D7="","",IFERROR(VLOOKUP(D7,'📋 Catálogo'!$B$7:$L$41,10,0),""))</f>
        <v/>
      </c>
      <c r="K7" s="46" t="n"/>
    </row>
    <row r="8" ht="18" customHeight="1" s="109">
      <c r="A8" s="8" t="n"/>
      <c r="B8" s="70" t="n"/>
      <c r="C8" s="8" t="n"/>
      <c r="D8" s="8" t="n"/>
      <c r="E8" s="33" t="n"/>
      <c r="F8" s="33" t="n"/>
      <c r="G8" s="76">
        <f>IF(D8="","",MAX(0,E8-F8))</f>
        <v/>
      </c>
      <c r="H8" s="33" t="n"/>
      <c r="I8" s="33">
        <f>IF(D8="","",IFERROR(VLOOKUP(D8,'📋 Catálogo'!$B$7:$L$41,11,0),""))</f>
        <v/>
      </c>
      <c r="J8" s="33">
        <f>IF(D8="","",IFERROR(VLOOKUP(D8,'📋 Catálogo'!$B$7:$L$41,10,0),""))</f>
        <v/>
      </c>
      <c r="K8" s="33" t="n"/>
    </row>
    <row r="9" ht="18" customHeight="1" s="109">
      <c r="A9" s="12" t="n"/>
      <c r="B9" s="72" t="n"/>
      <c r="C9" s="12" t="n"/>
      <c r="D9" s="12" t="n"/>
      <c r="E9" s="46" t="n"/>
      <c r="F9" s="46" t="n"/>
      <c r="G9" s="76">
        <f>IF(D9="","",MAX(0,E9-F9))</f>
        <v/>
      </c>
      <c r="H9" s="46" t="n"/>
      <c r="I9" s="46">
        <f>IF(D9="","",IFERROR(VLOOKUP(D9,'📋 Catálogo'!$B$7:$L$41,11,0),""))</f>
        <v/>
      </c>
      <c r="J9" s="46">
        <f>IF(D9="","",IFERROR(VLOOKUP(D9,'📋 Catálogo'!$B$7:$L$41,10,0),""))</f>
        <v/>
      </c>
      <c r="K9" s="46" t="n"/>
    </row>
    <row r="10" ht="18" customHeight="1" s="109">
      <c r="A10" s="8" t="n"/>
      <c r="B10" s="70" t="n"/>
      <c r="C10" s="8" t="n"/>
      <c r="D10" s="8" t="n"/>
      <c r="E10" s="33" t="n"/>
      <c r="F10" s="33" t="n"/>
      <c r="G10" s="76">
        <f>IF(D10="","",MAX(0,E10-F10))</f>
        <v/>
      </c>
      <c r="H10" s="33" t="n"/>
      <c r="I10" s="33">
        <f>IF(D10="","",IFERROR(VLOOKUP(D10,'📋 Catálogo'!$B$7:$L$41,11,0),""))</f>
        <v/>
      </c>
      <c r="J10" s="33">
        <f>IF(D10="","",IFERROR(VLOOKUP(D10,'📋 Catálogo'!$B$7:$L$41,10,0),""))</f>
        <v/>
      </c>
      <c r="K10" s="33" t="n"/>
    </row>
    <row r="11" ht="18" customHeight="1" s="109">
      <c r="A11" s="12" t="n"/>
      <c r="B11" s="72" t="n"/>
      <c r="C11" s="12" t="n"/>
      <c r="D11" s="12" t="n"/>
      <c r="E11" s="46" t="n"/>
      <c r="F11" s="46" t="n"/>
      <c r="G11" s="76">
        <f>IF(D11="","",MAX(0,E11-F11))</f>
        <v/>
      </c>
      <c r="H11" s="46" t="n"/>
      <c r="I11" s="46">
        <f>IF(D11="","",IFERROR(VLOOKUP(D11,'📋 Catálogo'!$B$7:$L$41,11,0),""))</f>
        <v/>
      </c>
      <c r="J11" s="46">
        <f>IF(D11="","",IFERROR(VLOOKUP(D11,'📋 Catálogo'!$B$7:$L$41,10,0),""))</f>
        <v/>
      </c>
      <c r="K11" s="46" t="n"/>
    </row>
    <row r="12" ht="18" customHeight="1" s="109">
      <c r="A12" s="8" t="n"/>
      <c r="B12" s="70" t="n"/>
      <c r="C12" s="8" t="n"/>
      <c r="D12" s="8" t="n"/>
      <c r="E12" s="33" t="n"/>
      <c r="F12" s="33" t="n"/>
      <c r="G12" s="76">
        <f>IF(D12="","",MAX(0,E12-F12))</f>
        <v/>
      </c>
      <c r="H12" s="33" t="n"/>
      <c r="I12" s="33">
        <f>IF(D12="","",IFERROR(VLOOKUP(D12,'📋 Catálogo'!$B$7:$L$41,11,0),""))</f>
        <v/>
      </c>
      <c r="J12" s="33">
        <f>IF(D12="","",IFERROR(VLOOKUP(D12,'📋 Catálogo'!$B$7:$L$41,10,0),""))</f>
        <v/>
      </c>
      <c r="K12" s="33" t="n"/>
    </row>
    <row r="13" ht="18" customHeight="1" s="109">
      <c r="A13" s="12" t="n"/>
      <c r="B13" s="72" t="n"/>
      <c r="C13" s="12" t="n"/>
      <c r="D13" s="12" t="n"/>
      <c r="E13" s="46" t="n"/>
      <c r="F13" s="46" t="n"/>
      <c r="G13" s="76">
        <f>IF(D13="","",MAX(0,E13-F13))</f>
        <v/>
      </c>
      <c r="H13" s="46" t="n"/>
      <c r="I13" s="46">
        <f>IF(D13="","",IFERROR(VLOOKUP(D13,'📋 Catálogo'!$B$7:$L$41,11,0),""))</f>
        <v/>
      </c>
      <c r="J13" s="46">
        <f>IF(D13="","",IFERROR(VLOOKUP(D13,'📋 Catálogo'!$B$7:$L$41,10,0),""))</f>
        <v/>
      </c>
      <c r="K13" s="46" t="n"/>
    </row>
    <row r="14" ht="18" customHeight="1" s="109">
      <c r="A14" s="8" t="n"/>
      <c r="B14" s="70" t="n"/>
      <c r="C14" s="8" t="n"/>
      <c r="D14" s="8" t="n"/>
      <c r="E14" s="33" t="n"/>
      <c r="F14" s="33" t="n"/>
      <c r="G14" s="76">
        <f>IF(D14="","",MAX(0,E14-F14))</f>
        <v/>
      </c>
      <c r="H14" s="33" t="n"/>
      <c r="I14" s="33">
        <f>IF(D14="","",IFERROR(VLOOKUP(D14,'📋 Catálogo'!$B$7:$L$41,11,0),""))</f>
        <v/>
      </c>
      <c r="J14" s="33">
        <f>IF(D14="","",IFERROR(VLOOKUP(D14,'📋 Catálogo'!$B$7:$L$41,10,0),""))</f>
        <v/>
      </c>
      <c r="K14" s="33" t="n"/>
    </row>
    <row r="15" ht="18" customHeight="1" s="109">
      <c r="A15" s="12" t="n"/>
      <c r="B15" s="72" t="n"/>
      <c r="C15" s="12" t="n"/>
      <c r="D15" s="12" t="n"/>
      <c r="E15" s="46" t="n"/>
      <c r="F15" s="46" t="n"/>
      <c r="G15" s="76">
        <f>IF(D15="","",MAX(0,E15-F15))</f>
        <v/>
      </c>
      <c r="H15" s="46" t="n"/>
      <c r="I15" s="46">
        <f>IF(D15="","",IFERROR(VLOOKUP(D15,'📋 Catálogo'!$B$7:$L$41,11,0),""))</f>
        <v/>
      </c>
      <c r="J15" s="46">
        <f>IF(D15="","",IFERROR(VLOOKUP(D15,'📋 Catálogo'!$B$7:$L$41,10,0),""))</f>
        <v/>
      </c>
      <c r="K15" s="46" t="n"/>
    </row>
    <row r="16" ht="18" customHeight="1" s="109">
      <c r="A16" s="8" t="n"/>
      <c r="B16" s="70" t="n"/>
      <c r="C16" s="8" t="n"/>
      <c r="D16" s="8" t="n"/>
      <c r="E16" s="33" t="n"/>
      <c r="F16" s="33" t="n"/>
      <c r="G16" s="76">
        <f>IF(D16="","",MAX(0,E16-F16))</f>
        <v/>
      </c>
      <c r="H16" s="33" t="n"/>
      <c r="I16" s="33">
        <f>IF(D16="","",IFERROR(VLOOKUP(D16,'📋 Catálogo'!$B$7:$L$41,11,0),""))</f>
        <v/>
      </c>
      <c r="J16" s="33">
        <f>IF(D16="","",IFERROR(VLOOKUP(D16,'📋 Catálogo'!$B$7:$L$41,10,0),""))</f>
        <v/>
      </c>
      <c r="K16" s="33" t="n"/>
    </row>
    <row r="17" ht="18" customHeight="1" s="109">
      <c r="A17" s="12" t="n"/>
      <c r="B17" s="72" t="n"/>
      <c r="C17" s="12" t="n"/>
      <c r="D17" s="12" t="n"/>
      <c r="E17" s="46" t="n"/>
      <c r="F17" s="46" t="n"/>
      <c r="G17" s="76">
        <f>IF(D17="","",MAX(0,E17-F17))</f>
        <v/>
      </c>
      <c r="H17" s="46" t="n"/>
      <c r="I17" s="46">
        <f>IF(D17="","",IFERROR(VLOOKUP(D17,'📋 Catálogo'!$B$7:$L$41,11,0),""))</f>
        <v/>
      </c>
      <c r="J17" s="46">
        <f>IF(D17="","",IFERROR(VLOOKUP(D17,'📋 Catálogo'!$B$7:$L$41,10,0),""))</f>
        <v/>
      </c>
      <c r="K17" s="46" t="n"/>
    </row>
    <row r="18" ht="18" customHeight="1" s="109">
      <c r="A18" s="8" t="n"/>
      <c r="B18" s="70" t="n"/>
      <c r="C18" s="8" t="n"/>
      <c r="D18" s="8" t="n"/>
      <c r="E18" s="33" t="n"/>
      <c r="F18" s="33" t="n"/>
      <c r="G18" s="76">
        <f>IF(D18="","",MAX(0,E18-F18))</f>
        <v/>
      </c>
      <c r="H18" s="33" t="n"/>
      <c r="I18" s="33">
        <f>IF(D18="","",IFERROR(VLOOKUP(D18,'📋 Catálogo'!$B$7:$L$41,11,0),""))</f>
        <v/>
      </c>
      <c r="J18" s="33">
        <f>IF(D18="","",IFERROR(VLOOKUP(D18,'📋 Catálogo'!$B$7:$L$41,10,0),""))</f>
        <v/>
      </c>
      <c r="K18" s="33" t="n"/>
    </row>
    <row r="19" ht="18" customHeight="1" s="109">
      <c r="A19" s="12" t="n"/>
      <c r="B19" s="72" t="n"/>
      <c r="C19" s="12" t="n"/>
      <c r="D19" s="12" t="n"/>
      <c r="E19" s="46" t="n"/>
      <c r="F19" s="46" t="n"/>
      <c r="G19" s="76">
        <f>IF(D19="","",MAX(0,E19-F19))</f>
        <v/>
      </c>
      <c r="H19" s="46" t="n"/>
      <c r="I19" s="46">
        <f>IF(D19="","",IFERROR(VLOOKUP(D19,'📋 Catálogo'!$B$7:$L$41,11,0),""))</f>
        <v/>
      </c>
      <c r="J19" s="46">
        <f>IF(D19="","",IFERROR(VLOOKUP(D19,'📋 Catálogo'!$B$7:$L$41,10,0),""))</f>
        <v/>
      </c>
      <c r="K19" s="46" t="n"/>
    </row>
    <row r="20" ht="18" customHeight="1" s="109">
      <c r="A20" s="8" t="n"/>
      <c r="B20" s="70" t="n"/>
      <c r="C20" s="8" t="n"/>
      <c r="D20" s="8" t="n"/>
      <c r="E20" s="33" t="n"/>
      <c r="F20" s="33" t="n"/>
      <c r="G20" s="76">
        <f>IF(D20="","",MAX(0,E20-F20))</f>
        <v/>
      </c>
      <c r="H20" s="33" t="n"/>
      <c r="I20" s="33">
        <f>IF(D20="","",IFERROR(VLOOKUP(D20,'📋 Catálogo'!$B$7:$L$41,11,0),""))</f>
        <v/>
      </c>
      <c r="J20" s="33">
        <f>IF(D20="","",IFERROR(VLOOKUP(D20,'📋 Catálogo'!$B$7:$L$41,10,0),""))</f>
        <v/>
      </c>
      <c r="K20" s="33" t="n"/>
    </row>
    <row r="21" ht="18" customHeight="1" s="109">
      <c r="A21" s="12" t="n"/>
      <c r="B21" s="72" t="n"/>
      <c r="C21" s="12" t="n"/>
      <c r="D21" s="12" t="n"/>
      <c r="E21" s="46" t="n"/>
      <c r="F21" s="46" t="n"/>
      <c r="G21" s="76">
        <f>IF(D21="","",MAX(0,E21-F21))</f>
        <v/>
      </c>
      <c r="H21" s="46" t="n"/>
      <c r="I21" s="46">
        <f>IF(D21="","",IFERROR(VLOOKUP(D21,'📋 Catálogo'!$B$7:$L$41,11,0),""))</f>
        <v/>
      </c>
      <c r="J21" s="46">
        <f>IF(D21="","",IFERROR(VLOOKUP(D21,'📋 Catálogo'!$B$7:$L$41,10,0),""))</f>
        <v/>
      </c>
      <c r="K21" s="46" t="n"/>
    </row>
    <row r="22" ht="18" customHeight="1" s="109">
      <c r="A22" s="8" t="n"/>
      <c r="B22" s="70" t="n"/>
      <c r="C22" s="8" t="n"/>
      <c r="D22" s="8" t="n"/>
      <c r="E22" s="33" t="n"/>
      <c r="F22" s="33" t="n"/>
      <c r="G22" s="76">
        <f>IF(D22="","",MAX(0,E22-F22))</f>
        <v/>
      </c>
      <c r="H22" s="33" t="n"/>
      <c r="I22" s="33">
        <f>IF(D22="","",IFERROR(VLOOKUP(D22,'📋 Catálogo'!$B$7:$L$41,11,0),""))</f>
        <v/>
      </c>
      <c r="J22" s="33">
        <f>IF(D22="","",IFERROR(VLOOKUP(D22,'📋 Catálogo'!$B$7:$L$41,10,0),""))</f>
        <v/>
      </c>
      <c r="K22" s="33" t="n"/>
    </row>
    <row r="23" ht="18" customHeight="1" s="109">
      <c r="A23" s="12" t="n"/>
      <c r="B23" s="72" t="n"/>
      <c r="C23" s="12" t="n"/>
      <c r="D23" s="12" t="n"/>
      <c r="E23" s="46" t="n"/>
      <c r="F23" s="46" t="n"/>
      <c r="G23" s="76">
        <f>IF(D23="","",MAX(0,E23-F23))</f>
        <v/>
      </c>
      <c r="H23" s="46" t="n"/>
      <c r="I23" s="46">
        <f>IF(D23="","",IFERROR(VLOOKUP(D23,'📋 Catálogo'!$B$7:$L$41,11,0),""))</f>
        <v/>
      </c>
      <c r="J23" s="46">
        <f>IF(D23="","",IFERROR(VLOOKUP(D23,'📋 Catálogo'!$B$7:$L$41,10,0),""))</f>
        <v/>
      </c>
      <c r="K23" s="46" t="n"/>
    </row>
    <row r="24" ht="18" customHeight="1" s="109">
      <c r="A24" s="8" t="n"/>
      <c r="B24" s="70" t="n"/>
      <c r="C24" s="8" t="n"/>
      <c r="D24" s="8" t="n"/>
      <c r="E24" s="33" t="n"/>
      <c r="F24" s="33" t="n"/>
      <c r="G24" s="76">
        <f>IF(D24="","",MAX(0,E24-F24))</f>
        <v/>
      </c>
      <c r="H24" s="33" t="n"/>
      <c r="I24" s="33">
        <f>IF(D24="","",IFERROR(VLOOKUP(D24,'📋 Catálogo'!$B$7:$L$41,11,0),""))</f>
        <v/>
      </c>
      <c r="J24" s="33">
        <f>IF(D24="","",IFERROR(VLOOKUP(D24,'📋 Catálogo'!$B$7:$L$41,10,0),""))</f>
        <v/>
      </c>
      <c r="K24" s="33" t="n"/>
    </row>
    <row r="25" ht="18" customHeight="1" s="109">
      <c r="A25" s="12" t="n"/>
      <c r="B25" s="72" t="n"/>
      <c r="C25" s="12" t="n"/>
      <c r="D25" s="12" t="n"/>
      <c r="E25" s="46" t="n"/>
      <c r="F25" s="46" t="n"/>
      <c r="G25" s="76">
        <f>IF(D25="","",MAX(0,E25-F25))</f>
        <v/>
      </c>
      <c r="H25" s="46" t="n"/>
      <c r="I25" s="46">
        <f>IF(D25="","",IFERROR(VLOOKUP(D25,'📋 Catálogo'!$B$7:$L$41,11,0),""))</f>
        <v/>
      </c>
      <c r="J25" s="46">
        <f>IF(D25="","",IFERROR(VLOOKUP(D25,'📋 Catálogo'!$B$7:$L$41,10,0),""))</f>
        <v/>
      </c>
      <c r="K25" s="46" t="n"/>
    </row>
    <row r="26" ht="18" customHeight="1" s="109">
      <c r="A26" s="8" t="n"/>
      <c r="B26" s="70" t="n"/>
      <c r="C26" s="8" t="n"/>
      <c r="D26" s="8" t="n"/>
      <c r="E26" s="33" t="n"/>
      <c r="F26" s="33" t="n"/>
      <c r="G26" s="76">
        <f>IF(D26="","",MAX(0,E26-F26))</f>
        <v/>
      </c>
      <c r="H26" s="33" t="n"/>
      <c r="I26" s="33">
        <f>IF(D26="","",IFERROR(VLOOKUP(D26,'📋 Catálogo'!$B$7:$L$41,11,0),""))</f>
        <v/>
      </c>
      <c r="J26" s="33">
        <f>IF(D26="","",IFERROR(VLOOKUP(D26,'📋 Catálogo'!$B$7:$L$41,10,0),""))</f>
        <v/>
      </c>
      <c r="K26" s="33" t="n"/>
    </row>
    <row r="27" ht="18" customHeight="1" s="109">
      <c r="A27" s="12" t="n"/>
      <c r="B27" s="72" t="n"/>
      <c r="C27" s="12" t="n"/>
      <c r="D27" s="12" t="n"/>
      <c r="E27" s="46" t="n"/>
      <c r="F27" s="46" t="n"/>
      <c r="G27" s="76">
        <f>IF(D27="","",MAX(0,E27-F27))</f>
        <v/>
      </c>
      <c r="H27" s="46" t="n"/>
      <c r="I27" s="46">
        <f>IF(D27="","",IFERROR(VLOOKUP(D27,'📋 Catálogo'!$B$7:$L$41,11,0),""))</f>
        <v/>
      </c>
      <c r="J27" s="46">
        <f>IF(D27="","",IFERROR(VLOOKUP(D27,'📋 Catálogo'!$B$7:$L$41,10,0),""))</f>
        <v/>
      </c>
      <c r="K27" s="46" t="n"/>
    </row>
    <row r="28" ht="18" customHeight="1" s="109">
      <c r="A28" s="8" t="n"/>
      <c r="B28" s="70" t="n"/>
      <c r="C28" s="8" t="n"/>
      <c r="D28" s="8" t="n"/>
      <c r="E28" s="33" t="n"/>
      <c r="F28" s="33" t="n"/>
      <c r="G28" s="76">
        <f>IF(D28="","",MAX(0,E28-F28))</f>
        <v/>
      </c>
      <c r="H28" s="33" t="n"/>
      <c r="I28" s="33">
        <f>IF(D28="","",IFERROR(VLOOKUP(D28,'📋 Catálogo'!$B$7:$L$41,11,0),""))</f>
        <v/>
      </c>
      <c r="J28" s="33">
        <f>IF(D28="","",IFERROR(VLOOKUP(D28,'📋 Catálogo'!$B$7:$L$41,10,0),""))</f>
        <v/>
      </c>
      <c r="K28" s="33" t="n"/>
    </row>
    <row r="29" ht="18" customHeight="1" s="109">
      <c r="A29" s="12" t="n"/>
      <c r="B29" s="72" t="n"/>
      <c r="C29" s="12" t="n"/>
      <c r="D29" s="12" t="n"/>
      <c r="E29" s="46" t="n"/>
      <c r="F29" s="46" t="n"/>
      <c r="G29" s="76">
        <f>IF(D29="","",MAX(0,E29-F29))</f>
        <v/>
      </c>
      <c r="H29" s="46" t="n"/>
      <c r="I29" s="46">
        <f>IF(D29="","",IFERROR(VLOOKUP(D29,'📋 Catálogo'!$B$7:$L$41,11,0),""))</f>
        <v/>
      </c>
      <c r="J29" s="46">
        <f>IF(D29="","",IFERROR(VLOOKUP(D29,'📋 Catálogo'!$B$7:$L$41,10,0),""))</f>
        <v/>
      </c>
      <c r="K29" s="46" t="n"/>
    </row>
    <row r="30" ht="18" customHeight="1" s="109">
      <c r="A30" s="8" t="n"/>
      <c r="B30" s="70" t="n"/>
      <c r="C30" s="8" t="n"/>
      <c r="D30" s="8" t="n"/>
      <c r="E30" s="33" t="n"/>
      <c r="F30" s="33" t="n"/>
      <c r="G30" s="76">
        <f>IF(D30="","",MAX(0,E30-F30))</f>
        <v/>
      </c>
      <c r="H30" s="33" t="n"/>
      <c r="I30" s="33">
        <f>IF(D30="","",IFERROR(VLOOKUP(D30,'📋 Catálogo'!$B$7:$L$41,11,0),""))</f>
        <v/>
      </c>
      <c r="J30" s="33">
        <f>IF(D30="","",IFERROR(VLOOKUP(D30,'📋 Catálogo'!$B$7:$L$41,10,0),""))</f>
        <v/>
      </c>
      <c r="K30" s="33" t="n"/>
    </row>
    <row r="31" ht="18" customHeight="1" s="109">
      <c r="A31" s="12" t="n"/>
      <c r="B31" s="72" t="n"/>
      <c r="C31" s="12" t="n"/>
      <c r="D31" s="12" t="n"/>
      <c r="E31" s="46" t="n"/>
      <c r="F31" s="46" t="n"/>
      <c r="G31" s="76">
        <f>IF(D31="","",MAX(0,E31-F31))</f>
        <v/>
      </c>
      <c r="H31" s="46" t="n"/>
      <c r="I31" s="46">
        <f>IF(D31="","",IFERROR(VLOOKUP(D31,'📋 Catálogo'!$B$7:$L$41,11,0),""))</f>
        <v/>
      </c>
      <c r="J31" s="46">
        <f>IF(D31="","",IFERROR(VLOOKUP(D31,'📋 Catálogo'!$B$7:$L$41,10,0),""))</f>
        <v/>
      </c>
      <c r="K31" s="46" t="n"/>
    </row>
    <row r="32" ht="18" customHeight="1" s="109">
      <c r="A32" s="8" t="n"/>
      <c r="B32" s="70" t="n"/>
      <c r="C32" s="8" t="n"/>
      <c r="D32" s="8" t="n"/>
      <c r="E32" s="33" t="n"/>
      <c r="F32" s="33" t="n"/>
      <c r="G32" s="76">
        <f>IF(D32="","",MAX(0,E32-F32))</f>
        <v/>
      </c>
      <c r="H32" s="33" t="n"/>
      <c r="I32" s="33">
        <f>IF(D32="","",IFERROR(VLOOKUP(D32,'📋 Catálogo'!$B$7:$L$41,11,0),""))</f>
        <v/>
      </c>
      <c r="J32" s="33">
        <f>IF(D32="","",IFERROR(VLOOKUP(D32,'📋 Catálogo'!$B$7:$L$41,10,0),""))</f>
        <v/>
      </c>
      <c r="K32" s="33" t="n"/>
    </row>
    <row r="33" ht="18" customHeight="1" s="109">
      <c r="A33" s="12" t="n"/>
      <c r="B33" s="72" t="n"/>
      <c r="C33" s="12" t="n"/>
      <c r="D33" s="12" t="n"/>
      <c r="E33" s="46" t="n"/>
      <c r="F33" s="46" t="n"/>
      <c r="G33" s="76">
        <f>IF(D33="","",MAX(0,E33-F33))</f>
        <v/>
      </c>
      <c r="H33" s="46" t="n"/>
      <c r="I33" s="46">
        <f>IF(D33="","",IFERROR(VLOOKUP(D33,'📋 Catálogo'!$B$7:$L$41,11,0),""))</f>
        <v/>
      </c>
      <c r="J33" s="46">
        <f>IF(D33="","",IFERROR(VLOOKUP(D33,'📋 Catálogo'!$B$7:$L$41,10,0),""))</f>
        <v/>
      </c>
      <c r="K33" s="46" t="n"/>
    </row>
    <row r="34" ht="18" customHeight="1" s="109">
      <c r="A34" s="8" t="n"/>
      <c r="B34" s="70" t="n"/>
      <c r="C34" s="8" t="n"/>
      <c r="D34" s="8" t="n"/>
      <c r="E34" s="33" t="n"/>
      <c r="F34" s="33" t="n"/>
      <c r="G34" s="76">
        <f>IF(D34="","",MAX(0,E34-F34))</f>
        <v/>
      </c>
      <c r="H34" s="33" t="n"/>
      <c r="I34" s="33">
        <f>IF(D34="","",IFERROR(VLOOKUP(D34,'📋 Catálogo'!$B$7:$L$41,11,0),""))</f>
        <v/>
      </c>
      <c r="J34" s="33">
        <f>IF(D34="","",IFERROR(VLOOKUP(D34,'📋 Catálogo'!$B$7:$L$41,10,0),""))</f>
        <v/>
      </c>
      <c r="K34" s="33" t="n"/>
    </row>
    <row r="35" ht="18" customHeight="1" s="109">
      <c r="A35" s="12" t="n"/>
      <c r="B35" s="72" t="n"/>
      <c r="C35" s="12" t="n"/>
      <c r="D35" s="12" t="n"/>
      <c r="E35" s="46" t="n"/>
      <c r="F35" s="46" t="n"/>
      <c r="G35" s="76">
        <f>IF(D35="","",MAX(0,E35-F35))</f>
        <v/>
      </c>
      <c r="H35" s="46" t="n"/>
      <c r="I35" s="46">
        <f>IF(D35="","",IFERROR(VLOOKUP(D35,'📋 Catálogo'!$B$7:$L$41,11,0),""))</f>
        <v/>
      </c>
      <c r="J35" s="46">
        <f>IF(D35="","",IFERROR(VLOOKUP(D35,'📋 Catálogo'!$B$7:$L$41,10,0),""))</f>
        <v/>
      </c>
      <c r="K35" s="46" t="n"/>
    </row>
    <row r="36" ht="18" customHeight="1" s="109">
      <c r="A36" s="8" t="n"/>
      <c r="B36" s="70" t="n"/>
      <c r="C36" s="8" t="n"/>
      <c r="D36" s="8" t="n"/>
      <c r="E36" s="33" t="n"/>
      <c r="F36" s="33" t="n"/>
      <c r="G36" s="76">
        <f>IF(D36="","",MAX(0,E36-F36))</f>
        <v/>
      </c>
      <c r="H36" s="33" t="n"/>
      <c r="I36" s="33">
        <f>IF(D36="","",IFERROR(VLOOKUP(D36,'📋 Catálogo'!$B$7:$L$41,11,0),""))</f>
        <v/>
      </c>
      <c r="J36" s="33">
        <f>IF(D36="","",IFERROR(VLOOKUP(D36,'📋 Catálogo'!$B$7:$L$41,10,0),""))</f>
        <v/>
      </c>
      <c r="K36" s="33" t="n"/>
    </row>
    <row r="37" ht="18" customHeight="1" s="109">
      <c r="A37" s="12" t="n"/>
      <c r="B37" s="72" t="n"/>
      <c r="C37" s="12" t="n"/>
      <c r="D37" s="12" t="n"/>
      <c r="E37" s="46" t="n"/>
      <c r="F37" s="46" t="n"/>
      <c r="G37" s="76">
        <f>IF(D37="","",MAX(0,E37-F37))</f>
        <v/>
      </c>
      <c r="H37" s="46" t="n"/>
      <c r="I37" s="46">
        <f>IF(D37="","",IFERROR(VLOOKUP(D37,'📋 Catálogo'!$B$7:$L$41,11,0),""))</f>
        <v/>
      </c>
      <c r="J37" s="46">
        <f>IF(D37="","",IFERROR(VLOOKUP(D37,'📋 Catálogo'!$B$7:$L$41,10,0),""))</f>
        <v/>
      </c>
      <c r="K37" s="46" t="n"/>
    </row>
    <row r="38" ht="18" customHeight="1" s="109">
      <c r="A38" s="8" t="n"/>
      <c r="B38" s="70" t="n"/>
      <c r="C38" s="8" t="n"/>
      <c r="D38" s="8" t="n"/>
      <c r="E38" s="33" t="n"/>
      <c r="F38" s="33" t="n"/>
      <c r="G38" s="76">
        <f>IF(D38="","",MAX(0,E38-F38))</f>
        <v/>
      </c>
      <c r="H38" s="33" t="n"/>
      <c r="I38" s="33">
        <f>IF(D38="","",IFERROR(VLOOKUP(D38,'📋 Catálogo'!$B$7:$L$41,11,0),""))</f>
        <v/>
      </c>
      <c r="J38" s="33">
        <f>IF(D38="","",IFERROR(VLOOKUP(D38,'📋 Catálogo'!$B$7:$L$41,10,0),""))</f>
        <v/>
      </c>
      <c r="K38" s="33" t="n"/>
    </row>
    <row r="39" ht="18" customHeight="1" s="109">
      <c r="A39" s="12" t="n"/>
      <c r="B39" s="72" t="n"/>
      <c r="C39" s="12" t="n"/>
      <c r="D39" s="12" t="n"/>
      <c r="E39" s="46" t="n"/>
      <c r="F39" s="46" t="n"/>
      <c r="G39" s="76">
        <f>IF(D39="","",MAX(0,E39-F39))</f>
        <v/>
      </c>
      <c r="H39" s="46" t="n"/>
      <c r="I39" s="46">
        <f>IF(D39="","",IFERROR(VLOOKUP(D39,'📋 Catálogo'!$B$7:$L$41,11,0),""))</f>
        <v/>
      </c>
      <c r="J39" s="46">
        <f>IF(D39="","",IFERROR(VLOOKUP(D39,'📋 Catálogo'!$B$7:$L$41,10,0),""))</f>
        <v/>
      </c>
      <c r="K39" s="46" t="n"/>
    </row>
    <row r="40" ht="18" customHeight="1" s="109">
      <c r="A40" s="8" t="n"/>
      <c r="B40" s="70" t="n"/>
      <c r="C40" s="8" t="n"/>
      <c r="D40" s="8" t="n"/>
      <c r="E40" s="33" t="n"/>
      <c r="F40" s="33" t="n"/>
      <c r="G40" s="76">
        <f>IF(D40="","",MAX(0,E40-F40))</f>
        <v/>
      </c>
      <c r="H40" s="33" t="n"/>
      <c r="I40" s="33">
        <f>IF(D40="","",IFERROR(VLOOKUP(D40,'📋 Catálogo'!$B$7:$L$41,11,0),""))</f>
        <v/>
      </c>
      <c r="J40" s="33">
        <f>IF(D40="","",IFERROR(VLOOKUP(D40,'📋 Catálogo'!$B$7:$L$41,10,0),""))</f>
        <v/>
      </c>
      <c r="K40" s="33" t="n"/>
    </row>
    <row r="41" ht="18" customHeight="1" s="109">
      <c r="A41" s="12" t="n"/>
      <c r="B41" s="72" t="n"/>
      <c r="C41" s="12" t="n"/>
      <c r="D41" s="12" t="n"/>
      <c r="E41" s="46" t="n"/>
      <c r="F41" s="46" t="n"/>
      <c r="G41" s="76">
        <f>IF(D41="","",MAX(0,E41-F41))</f>
        <v/>
      </c>
      <c r="H41" s="46" t="n"/>
      <c r="I41" s="46">
        <f>IF(D41="","",IFERROR(VLOOKUP(D41,'📋 Catálogo'!$B$7:$L$41,11,0),""))</f>
        <v/>
      </c>
      <c r="J41" s="46">
        <f>IF(D41="","",IFERROR(VLOOKUP(D41,'📋 Catálogo'!$B$7:$L$41,10,0),""))</f>
        <v/>
      </c>
      <c r="K41" s="46" t="n"/>
    </row>
    <row r="42" ht="18" customHeight="1" s="109">
      <c r="A42" s="8" t="n"/>
      <c r="B42" s="70" t="n"/>
      <c r="C42" s="8" t="n"/>
      <c r="D42" s="8" t="n"/>
      <c r="E42" s="33" t="n"/>
      <c r="F42" s="33" t="n"/>
      <c r="G42" s="76">
        <f>IF(D42="","",MAX(0,E42-F42))</f>
        <v/>
      </c>
      <c r="H42" s="33" t="n"/>
      <c r="I42" s="33">
        <f>IF(D42="","",IFERROR(VLOOKUP(D42,'📋 Catálogo'!$B$7:$L$41,11,0),""))</f>
        <v/>
      </c>
      <c r="J42" s="33">
        <f>IF(D42="","",IFERROR(VLOOKUP(D42,'📋 Catálogo'!$B$7:$L$41,10,0),""))</f>
        <v/>
      </c>
      <c r="K42" s="33" t="n"/>
    </row>
    <row r="43" ht="18" customHeight="1" s="109">
      <c r="A43" s="12" t="n"/>
      <c r="B43" s="72" t="n"/>
      <c r="C43" s="12" t="n"/>
      <c r="D43" s="12" t="n"/>
      <c r="E43" s="46" t="n"/>
      <c r="F43" s="46" t="n"/>
      <c r="G43" s="76">
        <f>IF(D43="","",MAX(0,E43-F43))</f>
        <v/>
      </c>
      <c r="H43" s="46" t="n"/>
      <c r="I43" s="46">
        <f>IF(D43="","",IFERROR(VLOOKUP(D43,'📋 Catálogo'!$B$7:$L$41,11,0),""))</f>
        <v/>
      </c>
      <c r="J43" s="46">
        <f>IF(D43="","",IFERROR(VLOOKUP(D43,'📋 Catálogo'!$B$7:$L$41,10,0),""))</f>
        <v/>
      </c>
      <c r="K43" s="46" t="n"/>
    </row>
    <row r="44" ht="18" customHeight="1" s="109">
      <c r="A44" s="8" t="n"/>
      <c r="B44" s="70" t="n"/>
      <c r="C44" s="8" t="n"/>
      <c r="D44" s="8" t="n"/>
      <c r="E44" s="33" t="n"/>
      <c r="F44" s="33" t="n"/>
      <c r="G44" s="76">
        <f>IF(D44="","",MAX(0,E44-F44))</f>
        <v/>
      </c>
      <c r="H44" s="33" t="n"/>
      <c r="I44" s="33">
        <f>IF(D44="","",IFERROR(VLOOKUP(D44,'📋 Catálogo'!$B$7:$L$41,11,0),""))</f>
        <v/>
      </c>
      <c r="J44" s="33">
        <f>IF(D44="","",IFERROR(VLOOKUP(D44,'📋 Catálogo'!$B$7:$L$41,10,0),""))</f>
        <v/>
      </c>
      <c r="K44" s="33" t="n"/>
    </row>
    <row r="45" ht="18" customHeight="1" s="109">
      <c r="A45" s="12" t="n"/>
      <c r="B45" s="72" t="n"/>
      <c r="C45" s="12" t="n"/>
      <c r="D45" s="12" t="n"/>
      <c r="E45" s="46" t="n"/>
      <c r="F45" s="46" t="n"/>
      <c r="G45" s="76">
        <f>IF(D45="","",MAX(0,E45-F45))</f>
        <v/>
      </c>
      <c r="H45" s="46" t="n"/>
      <c r="I45" s="46">
        <f>IF(D45="","",IFERROR(VLOOKUP(D45,'📋 Catálogo'!$B$7:$L$41,11,0),""))</f>
        <v/>
      </c>
      <c r="J45" s="46">
        <f>IF(D45="","",IFERROR(VLOOKUP(D45,'📋 Catálogo'!$B$7:$L$41,10,0),""))</f>
        <v/>
      </c>
      <c r="K45" s="46" t="n"/>
    </row>
    <row r="46" ht="18" customHeight="1" s="109">
      <c r="A46" s="8" t="n"/>
      <c r="B46" s="70" t="n"/>
      <c r="C46" s="8" t="n"/>
      <c r="D46" s="8" t="n"/>
      <c r="E46" s="33" t="n"/>
      <c r="F46" s="33" t="n"/>
      <c r="G46" s="76">
        <f>IF(D46="","",MAX(0,E46-F46))</f>
        <v/>
      </c>
      <c r="H46" s="33" t="n"/>
      <c r="I46" s="33">
        <f>IF(D46="","",IFERROR(VLOOKUP(D46,'📋 Catálogo'!$B$7:$L$41,11,0),""))</f>
        <v/>
      </c>
      <c r="J46" s="33">
        <f>IF(D46="","",IFERROR(VLOOKUP(D46,'📋 Catálogo'!$B$7:$L$41,10,0),""))</f>
        <v/>
      </c>
      <c r="K46" s="33" t="n"/>
    </row>
    <row r="47" ht="18" customHeight="1" s="109">
      <c r="A47" s="12" t="n"/>
      <c r="B47" s="72" t="n"/>
      <c r="C47" s="12" t="n"/>
      <c r="D47" s="12" t="n"/>
      <c r="E47" s="46" t="n"/>
      <c r="F47" s="46" t="n"/>
      <c r="G47" s="76">
        <f>IF(D47="","",MAX(0,E47-F47))</f>
        <v/>
      </c>
      <c r="H47" s="46" t="n"/>
      <c r="I47" s="46">
        <f>IF(D47="","",IFERROR(VLOOKUP(D47,'📋 Catálogo'!$B$7:$L$41,11,0),""))</f>
        <v/>
      </c>
      <c r="J47" s="46">
        <f>IF(D47="","",IFERROR(VLOOKUP(D47,'📋 Catálogo'!$B$7:$L$41,10,0),""))</f>
        <v/>
      </c>
      <c r="K47" s="46" t="n"/>
    </row>
    <row r="48" ht="18" customHeight="1" s="109">
      <c r="A48" s="8" t="n"/>
      <c r="B48" s="70" t="n"/>
      <c r="C48" s="8" t="n"/>
      <c r="D48" s="8" t="n"/>
      <c r="E48" s="33" t="n"/>
      <c r="F48" s="33" t="n"/>
      <c r="G48" s="76">
        <f>IF(D48="","",MAX(0,E48-F48))</f>
        <v/>
      </c>
      <c r="H48" s="33" t="n"/>
      <c r="I48" s="33">
        <f>IF(D48="","",IFERROR(VLOOKUP(D48,'📋 Catálogo'!$B$7:$L$41,11,0),""))</f>
        <v/>
      </c>
      <c r="J48" s="33">
        <f>IF(D48="","",IFERROR(VLOOKUP(D48,'📋 Catálogo'!$B$7:$L$41,10,0),""))</f>
        <v/>
      </c>
      <c r="K48" s="33" t="n"/>
    </row>
    <row r="49" ht="18" customHeight="1" s="109">
      <c r="A49" s="12" t="n"/>
      <c r="B49" s="72" t="n"/>
      <c r="C49" s="12" t="n"/>
      <c r="D49" s="12" t="n"/>
      <c r="E49" s="46" t="n"/>
      <c r="F49" s="46" t="n"/>
      <c r="G49" s="76">
        <f>IF(D49="","",MAX(0,E49-F49))</f>
        <v/>
      </c>
      <c r="H49" s="46" t="n"/>
      <c r="I49" s="46">
        <f>IF(D49="","",IFERROR(VLOOKUP(D49,'📋 Catálogo'!$B$7:$L$41,11,0),""))</f>
        <v/>
      </c>
      <c r="J49" s="46">
        <f>IF(D49="","",IFERROR(VLOOKUP(D49,'📋 Catálogo'!$B$7:$L$41,10,0),""))</f>
        <v/>
      </c>
      <c r="K49" s="46" t="n"/>
    </row>
    <row r="50" ht="18" customHeight="1" s="109">
      <c r="A50" s="8" t="n"/>
      <c r="B50" s="70" t="n"/>
      <c r="C50" s="8" t="n"/>
      <c r="D50" s="8" t="n"/>
      <c r="E50" s="33" t="n"/>
      <c r="F50" s="33" t="n"/>
      <c r="G50" s="76">
        <f>IF(D50="","",MAX(0,E50-F50))</f>
        <v/>
      </c>
      <c r="H50" s="33" t="n"/>
      <c r="I50" s="33">
        <f>IF(D50="","",IFERROR(VLOOKUP(D50,'📋 Catálogo'!$B$7:$L$41,11,0),""))</f>
        <v/>
      </c>
      <c r="J50" s="33">
        <f>IF(D50="","",IFERROR(VLOOKUP(D50,'📋 Catálogo'!$B$7:$L$41,10,0),""))</f>
        <v/>
      </c>
      <c r="K50" s="33" t="n"/>
    </row>
    <row r="51" ht="18" customHeight="1" s="109">
      <c r="A51" s="12" t="n"/>
      <c r="B51" s="72" t="n"/>
      <c r="C51" s="12" t="n"/>
      <c r="D51" s="12" t="n"/>
      <c r="E51" s="46" t="n"/>
      <c r="F51" s="46" t="n"/>
      <c r="G51" s="76">
        <f>IF(D51="","",MAX(0,E51-F51))</f>
        <v/>
      </c>
      <c r="H51" s="46" t="n"/>
      <c r="I51" s="46">
        <f>IF(D51="","",IFERROR(VLOOKUP(D51,'📋 Catálogo'!$B$7:$L$41,11,0),""))</f>
        <v/>
      </c>
      <c r="J51" s="46">
        <f>IF(D51="","",IFERROR(VLOOKUP(D51,'📋 Catálogo'!$B$7:$L$41,10,0),""))</f>
        <v/>
      </c>
      <c r="K51" s="46" t="n"/>
    </row>
    <row r="52" ht="18" customHeight="1" s="109">
      <c r="A52" s="8" t="n"/>
      <c r="B52" s="70" t="n"/>
      <c r="C52" s="8" t="n"/>
      <c r="D52" s="8" t="n"/>
      <c r="E52" s="33" t="n"/>
      <c r="F52" s="33" t="n"/>
      <c r="G52" s="76">
        <f>IF(D52="","",MAX(0,E52-F52))</f>
        <v/>
      </c>
      <c r="H52" s="33" t="n"/>
      <c r="I52" s="33">
        <f>IF(D52="","",IFERROR(VLOOKUP(D52,'📋 Catálogo'!$B$7:$L$41,11,0),""))</f>
        <v/>
      </c>
      <c r="J52" s="33">
        <f>IF(D52="","",IFERROR(VLOOKUP(D52,'📋 Catálogo'!$B$7:$L$41,10,0),""))</f>
        <v/>
      </c>
      <c r="K52" s="33" t="n"/>
    </row>
    <row r="53" ht="18" customHeight="1" s="109">
      <c r="A53" s="12" t="n"/>
      <c r="B53" s="72" t="n"/>
      <c r="C53" s="12" t="n"/>
      <c r="D53" s="12" t="n"/>
      <c r="E53" s="46" t="n"/>
      <c r="F53" s="46" t="n"/>
      <c r="G53" s="76">
        <f>IF(D53="","",MAX(0,E53-F53))</f>
        <v/>
      </c>
      <c r="H53" s="46" t="n"/>
      <c r="I53" s="46">
        <f>IF(D53="","",IFERROR(VLOOKUP(D53,'📋 Catálogo'!$B$7:$L$41,11,0),""))</f>
        <v/>
      </c>
      <c r="J53" s="46">
        <f>IF(D53="","",IFERROR(VLOOKUP(D53,'📋 Catálogo'!$B$7:$L$41,10,0),""))</f>
        <v/>
      </c>
      <c r="K53" s="46" t="n"/>
    </row>
    <row r="54" ht="18" customHeight="1" s="109">
      <c r="A54" s="8" t="n"/>
      <c r="B54" s="70" t="n"/>
      <c r="C54" s="8" t="n"/>
      <c r="D54" s="8" t="n"/>
      <c r="E54" s="33" t="n"/>
      <c r="F54" s="33" t="n"/>
      <c r="G54" s="76">
        <f>IF(D54="","",MAX(0,E54-F54))</f>
        <v/>
      </c>
      <c r="H54" s="33" t="n"/>
      <c r="I54" s="33">
        <f>IF(D54="","",IFERROR(VLOOKUP(D54,'📋 Catálogo'!$B$7:$L$41,11,0),""))</f>
        <v/>
      </c>
      <c r="J54" s="33">
        <f>IF(D54="","",IFERROR(VLOOKUP(D54,'📋 Catálogo'!$B$7:$L$41,10,0),""))</f>
        <v/>
      </c>
      <c r="K54" s="33" t="n"/>
    </row>
    <row r="55" ht="18" customHeight="1" s="109">
      <c r="A55" s="12" t="n"/>
      <c r="B55" s="72" t="n"/>
      <c r="C55" s="12" t="n"/>
      <c r="D55" s="12" t="n"/>
      <c r="E55" s="46" t="n"/>
      <c r="F55" s="46" t="n"/>
      <c r="G55" s="76">
        <f>IF(D55="","",MAX(0,E55-F55))</f>
        <v/>
      </c>
      <c r="H55" s="46" t="n"/>
      <c r="I55" s="46">
        <f>IF(D55="","",IFERROR(VLOOKUP(D55,'📋 Catálogo'!$B$7:$L$41,11,0),""))</f>
        <v/>
      </c>
      <c r="J55" s="46">
        <f>IF(D55="","",IFERROR(VLOOKUP(D55,'📋 Catálogo'!$B$7:$L$41,10,0),""))</f>
        <v/>
      </c>
      <c r="K55" s="46" t="n"/>
    </row>
    <row r="56" ht="18" customHeight="1" s="109">
      <c r="A56" s="8" t="n"/>
      <c r="B56" s="70" t="n"/>
      <c r="C56" s="8" t="n"/>
      <c r="D56" s="8" t="n"/>
      <c r="E56" s="33" t="n"/>
      <c r="F56" s="33" t="n"/>
      <c r="G56" s="76">
        <f>IF(D56="","",MAX(0,E56-F56))</f>
        <v/>
      </c>
      <c r="H56" s="33" t="n"/>
      <c r="I56" s="33">
        <f>IF(D56="","",IFERROR(VLOOKUP(D56,'📋 Catálogo'!$B$7:$L$41,11,0),""))</f>
        <v/>
      </c>
      <c r="J56" s="33">
        <f>IF(D56="","",IFERROR(VLOOKUP(D56,'📋 Catálogo'!$B$7:$L$41,10,0),""))</f>
        <v/>
      </c>
      <c r="K56" s="33" t="n"/>
    </row>
    <row r="57" ht="18" customHeight="1" s="109">
      <c r="A57" s="12" t="n"/>
      <c r="B57" s="72" t="n"/>
      <c r="C57" s="12" t="n"/>
      <c r="D57" s="12" t="n"/>
      <c r="E57" s="46" t="n"/>
      <c r="F57" s="46" t="n"/>
      <c r="G57" s="76">
        <f>IF(D57="","",MAX(0,E57-F57))</f>
        <v/>
      </c>
      <c r="H57" s="46" t="n"/>
      <c r="I57" s="46">
        <f>IF(D57="","",IFERROR(VLOOKUP(D57,'📋 Catálogo'!$B$7:$L$41,11,0),""))</f>
        <v/>
      </c>
      <c r="J57" s="46">
        <f>IF(D57="","",IFERROR(VLOOKUP(D57,'📋 Catálogo'!$B$7:$L$41,10,0),""))</f>
        <v/>
      </c>
      <c r="K57" s="46" t="n"/>
    </row>
    <row r="58" ht="18" customHeight="1" s="109">
      <c r="A58" s="8" t="n"/>
      <c r="B58" s="70" t="n"/>
      <c r="C58" s="8" t="n"/>
      <c r="D58" s="8" t="n"/>
      <c r="E58" s="33" t="n"/>
      <c r="F58" s="33" t="n"/>
      <c r="G58" s="76">
        <f>IF(D58="","",MAX(0,E58-F58))</f>
        <v/>
      </c>
      <c r="H58" s="33" t="n"/>
      <c r="I58" s="33">
        <f>IF(D58="","",IFERROR(VLOOKUP(D58,'📋 Catálogo'!$B$7:$L$41,11,0),""))</f>
        <v/>
      </c>
      <c r="J58" s="33">
        <f>IF(D58="","",IFERROR(VLOOKUP(D58,'📋 Catálogo'!$B$7:$L$41,10,0),""))</f>
        <v/>
      </c>
      <c r="K58" s="33" t="n"/>
    </row>
    <row r="59" ht="18" customHeight="1" s="109">
      <c r="A59" s="12" t="n"/>
      <c r="B59" s="72" t="n"/>
      <c r="C59" s="12" t="n"/>
      <c r="D59" s="12" t="n"/>
      <c r="E59" s="46" t="n"/>
      <c r="F59" s="46" t="n"/>
      <c r="G59" s="76">
        <f>IF(D59="","",MAX(0,E59-F59))</f>
        <v/>
      </c>
      <c r="H59" s="46" t="n"/>
      <c r="I59" s="46">
        <f>IF(D59="","",IFERROR(VLOOKUP(D59,'📋 Catálogo'!$B$7:$L$41,11,0),""))</f>
        <v/>
      </c>
      <c r="J59" s="46">
        <f>IF(D59="","",IFERROR(VLOOKUP(D59,'📋 Catálogo'!$B$7:$L$41,10,0),""))</f>
        <v/>
      </c>
      <c r="K59" s="46" t="n"/>
    </row>
    <row r="60" ht="18" customHeight="1" s="109">
      <c r="A60" s="8" t="n"/>
      <c r="B60" s="70" t="n"/>
      <c r="C60" s="8" t="n"/>
      <c r="D60" s="8" t="n"/>
      <c r="E60" s="33" t="n"/>
      <c r="F60" s="33" t="n"/>
      <c r="G60" s="76">
        <f>IF(D60="","",MAX(0,E60-F60))</f>
        <v/>
      </c>
      <c r="H60" s="33" t="n"/>
      <c r="I60" s="33">
        <f>IF(D60="","",IFERROR(VLOOKUP(D60,'📋 Catálogo'!$B$7:$L$41,11,0),""))</f>
        <v/>
      </c>
      <c r="J60" s="33">
        <f>IF(D60="","",IFERROR(VLOOKUP(D60,'📋 Catálogo'!$B$7:$L$41,10,0),""))</f>
        <v/>
      </c>
      <c r="K60" s="33" t="n"/>
    </row>
    <row r="61" ht="18" customHeight="1" s="109">
      <c r="A61" s="12" t="n"/>
      <c r="B61" s="72" t="n"/>
      <c r="C61" s="12" t="n"/>
      <c r="D61" s="12" t="n"/>
      <c r="E61" s="46" t="n"/>
      <c r="F61" s="46" t="n"/>
      <c r="G61" s="76">
        <f>IF(D61="","",MAX(0,E61-F61))</f>
        <v/>
      </c>
      <c r="H61" s="46" t="n"/>
      <c r="I61" s="46">
        <f>IF(D61="","",IFERROR(VLOOKUP(D61,'📋 Catálogo'!$B$7:$L$41,11,0),""))</f>
        <v/>
      </c>
      <c r="J61" s="46">
        <f>IF(D61="","",IFERROR(VLOOKUP(D61,'📋 Catálogo'!$B$7:$L$41,10,0),""))</f>
        <v/>
      </c>
      <c r="K61" s="46" t="n"/>
    </row>
    <row r="62" ht="18" customHeight="1" s="109">
      <c r="A62" s="8" t="n"/>
      <c r="B62" s="70" t="n"/>
      <c r="C62" s="8" t="n"/>
      <c r="D62" s="8" t="n"/>
      <c r="E62" s="33" t="n"/>
      <c r="F62" s="33" t="n"/>
      <c r="G62" s="76">
        <f>IF(D62="","",MAX(0,E62-F62))</f>
        <v/>
      </c>
      <c r="H62" s="33" t="n"/>
      <c r="I62" s="33">
        <f>IF(D62="","",IFERROR(VLOOKUP(D62,'📋 Catálogo'!$B$7:$L$41,11,0),""))</f>
        <v/>
      </c>
      <c r="J62" s="33">
        <f>IF(D62="","",IFERROR(VLOOKUP(D62,'📋 Catálogo'!$B$7:$L$41,10,0),""))</f>
        <v/>
      </c>
      <c r="K62" s="33" t="n"/>
    </row>
    <row r="63" ht="18" customHeight="1" s="109">
      <c r="A63" s="12" t="n"/>
      <c r="B63" s="72" t="n"/>
      <c r="C63" s="12" t="n"/>
      <c r="D63" s="12" t="n"/>
      <c r="E63" s="46" t="n"/>
      <c r="F63" s="46" t="n"/>
      <c r="G63" s="76">
        <f>IF(D63="","",MAX(0,E63-F63))</f>
        <v/>
      </c>
      <c r="H63" s="46" t="n"/>
      <c r="I63" s="46">
        <f>IF(D63="","",IFERROR(VLOOKUP(D63,'📋 Catálogo'!$B$7:$L$41,11,0),""))</f>
        <v/>
      </c>
      <c r="J63" s="46">
        <f>IF(D63="","",IFERROR(VLOOKUP(D63,'📋 Catálogo'!$B$7:$L$41,10,0),""))</f>
        <v/>
      </c>
      <c r="K63" s="46" t="n"/>
    </row>
    <row r="64" ht="18" customHeight="1" s="109">
      <c r="A64" s="8" t="n"/>
      <c r="B64" s="70" t="n"/>
      <c r="C64" s="8" t="n"/>
      <c r="D64" s="8" t="n"/>
      <c r="E64" s="33" t="n"/>
      <c r="F64" s="33" t="n"/>
      <c r="G64" s="76">
        <f>IF(D64="","",MAX(0,E64-F64))</f>
        <v/>
      </c>
      <c r="H64" s="33" t="n"/>
      <c r="I64" s="33">
        <f>IF(D64="","",IFERROR(VLOOKUP(D64,'📋 Catálogo'!$B$7:$L$41,11,0),""))</f>
        <v/>
      </c>
      <c r="J64" s="33">
        <f>IF(D64="","",IFERROR(VLOOKUP(D64,'📋 Catálogo'!$B$7:$L$41,10,0),""))</f>
        <v/>
      </c>
      <c r="K64" s="33" t="n"/>
    </row>
    <row r="65" ht="18" customHeight="1" s="109">
      <c r="A65" s="12" t="n"/>
      <c r="B65" s="72" t="n"/>
      <c r="C65" s="12" t="n"/>
      <c r="D65" s="12" t="n"/>
      <c r="E65" s="46" t="n"/>
      <c r="F65" s="46" t="n"/>
      <c r="G65" s="76">
        <f>IF(D65="","",MAX(0,E65-F65))</f>
        <v/>
      </c>
      <c r="H65" s="46" t="n"/>
      <c r="I65" s="46">
        <f>IF(D65="","",IFERROR(VLOOKUP(D65,'📋 Catálogo'!$B$7:$L$41,11,0),""))</f>
        <v/>
      </c>
      <c r="J65" s="46">
        <f>IF(D65="","",IFERROR(VLOOKUP(D65,'📋 Catálogo'!$B$7:$L$41,10,0),""))</f>
        <v/>
      </c>
      <c r="K65" s="46" t="n"/>
    </row>
    <row r="66" ht="18" customHeight="1" s="109">
      <c r="A66" s="8" t="n"/>
      <c r="B66" s="70" t="n"/>
      <c r="C66" s="8" t="n"/>
      <c r="D66" s="8" t="n"/>
      <c r="E66" s="33" t="n"/>
      <c r="F66" s="33" t="n"/>
      <c r="G66" s="76">
        <f>IF(D66="","",MAX(0,E66-F66))</f>
        <v/>
      </c>
      <c r="H66" s="33" t="n"/>
      <c r="I66" s="33">
        <f>IF(D66="","",IFERROR(VLOOKUP(D66,'📋 Catálogo'!$B$7:$L$41,11,0),""))</f>
        <v/>
      </c>
      <c r="J66" s="33">
        <f>IF(D66="","",IFERROR(VLOOKUP(D66,'📋 Catálogo'!$B$7:$L$41,10,0),""))</f>
        <v/>
      </c>
      <c r="K66" s="33" t="n"/>
    </row>
    <row r="67" ht="18" customHeight="1" s="109">
      <c r="A67" s="12" t="n"/>
      <c r="B67" s="72" t="n"/>
      <c r="C67" s="12" t="n"/>
      <c r="D67" s="12" t="n"/>
      <c r="E67" s="46" t="n"/>
      <c r="F67" s="46" t="n"/>
      <c r="G67" s="76">
        <f>IF(D67="","",MAX(0,E67-F67))</f>
        <v/>
      </c>
      <c r="H67" s="46" t="n"/>
      <c r="I67" s="46">
        <f>IF(D67="","",IFERROR(VLOOKUP(D67,'📋 Catálogo'!$B$7:$L$41,11,0),""))</f>
        <v/>
      </c>
      <c r="J67" s="46">
        <f>IF(D67="","",IFERROR(VLOOKUP(D67,'📋 Catálogo'!$B$7:$L$41,10,0),""))</f>
        <v/>
      </c>
      <c r="K67" s="46" t="n"/>
    </row>
    <row r="68" ht="18" customHeight="1" s="109">
      <c r="A68" s="8" t="n"/>
      <c r="B68" s="70" t="n"/>
      <c r="C68" s="8" t="n"/>
      <c r="D68" s="8" t="n"/>
      <c r="E68" s="33" t="n"/>
      <c r="F68" s="33" t="n"/>
      <c r="G68" s="76">
        <f>IF(D68="","",MAX(0,E68-F68))</f>
        <v/>
      </c>
      <c r="H68" s="33" t="n"/>
      <c r="I68" s="33">
        <f>IF(D68="","",IFERROR(VLOOKUP(D68,'📋 Catálogo'!$B$7:$L$41,11,0),""))</f>
        <v/>
      </c>
      <c r="J68" s="33">
        <f>IF(D68="","",IFERROR(VLOOKUP(D68,'📋 Catálogo'!$B$7:$L$41,10,0),""))</f>
        <v/>
      </c>
      <c r="K68" s="33" t="n"/>
    </row>
    <row r="69" ht="18" customHeight="1" s="109">
      <c r="A69" s="12" t="n"/>
      <c r="B69" s="72" t="n"/>
      <c r="C69" s="12" t="n"/>
      <c r="D69" s="12" t="n"/>
      <c r="E69" s="46" t="n"/>
      <c r="F69" s="46" t="n"/>
      <c r="G69" s="76">
        <f>IF(D69="","",MAX(0,E69-F69))</f>
        <v/>
      </c>
      <c r="H69" s="46" t="n"/>
      <c r="I69" s="46">
        <f>IF(D69="","",IFERROR(VLOOKUP(D69,'📋 Catálogo'!$B$7:$L$41,11,0),""))</f>
        <v/>
      </c>
      <c r="J69" s="46">
        <f>IF(D69="","",IFERROR(VLOOKUP(D69,'📋 Catálogo'!$B$7:$L$41,10,0),""))</f>
        <v/>
      </c>
      <c r="K69" s="46" t="n"/>
    </row>
    <row r="70" ht="18" customHeight="1" s="109">
      <c r="A70" s="8" t="n"/>
      <c r="B70" s="70" t="n"/>
      <c r="C70" s="8" t="n"/>
      <c r="D70" s="8" t="n"/>
      <c r="E70" s="33" t="n"/>
      <c r="F70" s="33" t="n"/>
      <c r="G70" s="76">
        <f>IF(D70="","",MAX(0,E70-F70))</f>
        <v/>
      </c>
      <c r="H70" s="33" t="n"/>
      <c r="I70" s="33">
        <f>IF(D70="","",IFERROR(VLOOKUP(D70,'📋 Catálogo'!$B$7:$L$41,11,0),""))</f>
        <v/>
      </c>
      <c r="J70" s="33">
        <f>IF(D70="","",IFERROR(VLOOKUP(D70,'📋 Catálogo'!$B$7:$L$41,10,0),""))</f>
        <v/>
      </c>
      <c r="K70" s="33" t="n"/>
    </row>
    <row r="71" ht="18" customHeight="1" s="109">
      <c r="A71" s="12" t="n"/>
      <c r="B71" s="72" t="n"/>
      <c r="C71" s="12" t="n"/>
      <c r="D71" s="12" t="n"/>
      <c r="E71" s="46" t="n"/>
      <c r="F71" s="46" t="n"/>
      <c r="G71" s="76">
        <f>IF(D71="","",MAX(0,E71-F71))</f>
        <v/>
      </c>
      <c r="H71" s="46" t="n"/>
      <c r="I71" s="46">
        <f>IF(D71="","",IFERROR(VLOOKUP(D71,'📋 Catálogo'!$B$7:$L$41,11,0),""))</f>
        <v/>
      </c>
      <c r="J71" s="46">
        <f>IF(D71="","",IFERROR(VLOOKUP(D71,'📋 Catálogo'!$B$7:$L$41,10,0),""))</f>
        <v/>
      </c>
      <c r="K71" s="46" t="n"/>
    </row>
    <row r="72" ht="18" customHeight="1" s="109">
      <c r="A72" s="8" t="n"/>
      <c r="B72" s="70" t="n"/>
      <c r="C72" s="8" t="n"/>
      <c r="D72" s="8" t="n"/>
      <c r="E72" s="33" t="n"/>
      <c r="F72" s="33" t="n"/>
      <c r="G72" s="76">
        <f>IF(D72="","",MAX(0,E72-F72))</f>
        <v/>
      </c>
      <c r="H72" s="33" t="n"/>
      <c r="I72" s="33">
        <f>IF(D72="","",IFERROR(VLOOKUP(D72,'📋 Catálogo'!$B$7:$L$41,11,0),""))</f>
        <v/>
      </c>
      <c r="J72" s="33">
        <f>IF(D72="","",IFERROR(VLOOKUP(D72,'📋 Catálogo'!$B$7:$L$41,10,0),""))</f>
        <v/>
      </c>
      <c r="K72" s="33" t="n"/>
    </row>
    <row r="73" ht="18" customHeight="1" s="109">
      <c r="A73" s="12" t="n"/>
      <c r="B73" s="72" t="n"/>
      <c r="C73" s="12" t="n"/>
      <c r="D73" s="12" t="n"/>
      <c r="E73" s="46" t="n"/>
      <c r="F73" s="46" t="n"/>
      <c r="G73" s="76">
        <f>IF(D73="","",MAX(0,E73-F73))</f>
        <v/>
      </c>
      <c r="H73" s="46" t="n"/>
      <c r="I73" s="46">
        <f>IF(D73="","",IFERROR(VLOOKUP(D73,'📋 Catálogo'!$B$7:$L$41,11,0),""))</f>
        <v/>
      </c>
      <c r="J73" s="46">
        <f>IF(D73="","",IFERROR(VLOOKUP(D73,'📋 Catálogo'!$B$7:$L$41,10,0),""))</f>
        <v/>
      </c>
      <c r="K73" s="46" t="n"/>
    </row>
    <row r="74" ht="18" customHeight="1" s="109">
      <c r="A74" s="8" t="n"/>
      <c r="B74" s="70" t="n"/>
      <c r="C74" s="8" t="n"/>
      <c r="D74" s="8" t="n"/>
      <c r="E74" s="33" t="n"/>
      <c r="F74" s="33" t="n"/>
      <c r="G74" s="76">
        <f>IF(D74="","",MAX(0,E74-F74))</f>
        <v/>
      </c>
      <c r="H74" s="33" t="n"/>
      <c r="I74" s="33">
        <f>IF(D74="","",IFERROR(VLOOKUP(D74,'📋 Catálogo'!$B$7:$L$41,11,0),""))</f>
        <v/>
      </c>
      <c r="J74" s="33">
        <f>IF(D74="","",IFERROR(VLOOKUP(D74,'📋 Catálogo'!$B$7:$L$41,10,0),""))</f>
        <v/>
      </c>
      <c r="K74" s="33" t="n"/>
    </row>
    <row r="75" ht="18" customHeight="1" s="109">
      <c r="A75" s="12" t="n"/>
      <c r="B75" s="72" t="n"/>
      <c r="C75" s="12" t="n"/>
      <c r="D75" s="12" t="n"/>
      <c r="E75" s="46" t="n"/>
      <c r="F75" s="46" t="n"/>
      <c r="G75" s="76">
        <f>IF(D75="","",MAX(0,E75-F75))</f>
        <v/>
      </c>
      <c r="H75" s="46" t="n"/>
      <c r="I75" s="46">
        <f>IF(D75="","",IFERROR(VLOOKUP(D75,'📋 Catálogo'!$B$7:$L$41,11,0),""))</f>
        <v/>
      </c>
      <c r="J75" s="46">
        <f>IF(D75="","",IFERROR(VLOOKUP(D75,'📋 Catálogo'!$B$7:$L$41,10,0),""))</f>
        <v/>
      </c>
      <c r="K75" s="46" t="n"/>
    </row>
    <row r="76" ht="18" customHeight="1" s="109">
      <c r="A76" s="8" t="n"/>
      <c r="B76" s="70" t="n"/>
      <c r="C76" s="8" t="n"/>
      <c r="D76" s="8" t="n"/>
      <c r="E76" s="33" t="n"/>
      <c r="F76" s="33" t="n"/>
      <c r="G76" s="76">
        <f>IF(D76="","",MAX(0,E76-F76))</f>
        <v/>
      </c>
      <c r="H76" s="33" t="n"/>
      <c r="I76" s="33">
        <f>IF(D76="","",IFERROR(VLOOKUP(D76,'📋 Catálogo'!$B$7:$L$41,11,0),""))</f>
        <v/>
      </c>
      <c r="J76" s="33">
        <f>IF(D76="","",IFERROR(VLOOKUP(D76,'📋 Catálogo'!$B$7:$L$41,10,0),""))</f>
        <v/>
      </c>
      <c r="K76" s="33" t="n"/>
    </row>
    <row r="77" ht="18" customHeight="1" s="109">
      <c r="A77" s="12" t="n"/>
      <c r="B77" s="72" t="n"/>
      <c r="C77" s="12" t="n"/>
      <c r="D77" s="12" t="n"/>
      <c r="E77" s="46" t="n"/>
      <c r="F77" s="46" t="n"/>
      <c r="G77" s="76">
        <f>IF(D77="","",MAX(0,E77-F77))</f>
        <v/>
      </c>
      <c r="H77" s="46" t="n"/>
      <c r="I77" s="46">
        <f>IF(D77="","",IFERROR(VLOOKUP(D77,'📋 Catálogo'!$B$7:$L$41,11,0),""))</f>
        <v/>
      </c>
      <c r="J77" s="46">
        <f>IF(D77="","",IFERROR(VLOOKUP(D77,'📋 Catálogo'!$B$7:$L$41,10,0),""))</f>
        <v/>
      </c>
      <c r="K77" s="46" t="n"/>
    </row>
    <row r="78" ht="18" customHeight="1" s="109">
      <c r="A78" s="8" t="n"/>
      <c r="B78" s="70" t="n"/>
      <c r="C78" s="8" t="n"/>
      <c r="D78" s="8" t="n"/>
      <c r="E78" s="33" t="n"/>
      <c r="F78" s="33" t="n"/>
      <c r="G78" s="76">
        <f>IF(D78="","",MAX(0,E78-F78))</f>
        <v/>
      </c>
      <c r="H78" s="33" t="n"/>
      <c r="I78" s="33">
        <f>IF(D78="","",IFERROR(VLOOKUP(D78,'📋 Catálogo'!$B$7:$L$41,11,0),""))</f>
        <v/>
      </c>
      <c r="J78" s="33">
        <f>IF(D78="","",IFERROR(VLOOKUP(D78,'📋 Catálogo'!$B$7:$L$41,10,0),""))</f>
        <v/>
      </c>
      <c r="K78" s="33" t="n"/>
    </row>
    <row r="79" ht="18" customHeight="1" s="109">
      <c r="A79" s="12" t="n"/>
      <c r="B79" s="72" t="n"/>
      <c r="C79" s="12" t="n"/>
      <c r="D79" s="12" t="n"/>
      <c r="E79" s="46" t="n"/>
      <c r="F79" s="46" t="n"/>
      <c r="G79" s="76">
        <f>IF(D79="","",MAX(0,E79-F79))</f>
        <v/>
      </c>
      <c r="H79" s="46" t="n"/>
      <c r="I79" s="46">
        <f>IF(D79="","",IFERROR(VLOOKUP(D79,'📋 Catálogo'!$B$7:$L$41,11,0),""))</f>
        <v/>
      </c>
      <c r="J79" s="46">
        <f>IF(D79="","",IFERROR(VLOOKUP(D79,'📋 Catálogo'!$B$7:$L$41,10,0),""))</f>
        <v/>
      </c>
      <c r="K79" s="46" t="n"/>
    </row>
    <row r="80" ht="18" customHeight="1" s="109">
      <c r="A80" s="8" t="n"/>
      <c r="B80" s="70" t="n"/>
      <c r="C80" s="8" t="n"/>
      <c r="D80" s="8" t="n"/>
      <c r="E80" s="33" t="n"/>
      <c r="F80" s="33" t="n"/>
      <c r="G80" s="76">
        <f>IF(D80="","",MAX(0,E80-F80))</f>
        <v/>
      </c>
      <c r="H80" s="33" t="n"/>
      <c r="I80" s="33">
        <f>IF(D80="","",IFERROR(VLOOKUP(D80,'📋 Catálogo'!$B$7:$L$41,11,0),""))</f>
        <v/>
      </c>
      <c r="J80" s="33">
        <f>IF(D80="","",IFERROR(VLOOKUP(D80,'📋 Catálogo'!$B$7:$L$41,10,0),""))</f>
        <v/>
      </c>
      <c r="K80" s="33" t="n"/>
    </row>
    <row r="81" ht="18" customHeight="1" s="109">
      <c r="A81" s="12" t="n"/>
      <c r="B81" s="72" t="n"/>
      <c r="C81" s="12" t="n"/>
      <c r="D81" s="12" t="n"/>
      <c r="E81" s="46" t="n"/>
      <c r="F81" s="46" t="n"/>
      <c r="G81" s="76">
        <f>IF(D81="","",MAX(0,E81-F81))</f>
        <v/>
      </c>
      <c r="H81" s="46" t="n"/>
      <c r="I81" s="46">
        <f>IF(D81="","",IFERROR(VLOOKUP(D81,'📋 Catálogo'!$B$7:$L$41,11,0),""))</f>
        <v/>
      </c>
      <c r="J81" s="46">
        <f>IF(D81="","",IFERROR(VLOOKUP(D81,'📋 Catálogo'!$B$7:$L$41,10,0),""))</f>
        <v/>
      </c>
      <c r="K81" s="46" t="n"/>
    </row>
    <row r="82" ht="18" customHeight="1" s="109">
      <c r="A82" s="8" t="n"/>
      <c r="B82" s="70" t="n"/>
      <c r="C82" s="8" t="n"/>
      <c r="D82" s="8" t="n"/>
      <c r="E82" s="33" t="n"/>
      <c r="F82" s="33" t="n"/>
      <c r="G82" s="76">
        <f>IF(D82="","",MAX(0,E82-F82))</f>
        <v/>
      </c>
      <c r="H82" s="33" t="n"/>
      <c r="I82" s="33">
        <f>IF(D82="","",IFERROR(VLOOKUP(D82,'📋 Catálogo'!$B$7:$L$41,11,0),""))</f>
        <v/>
      </c>
      <c r="J82" s="33">
        <f>IF(D82="","",IFERROR(VLOOKUP(D82,'📋 Catálogo'!$B$7:$L$41,10,0),""))</f>
        <v/>
      </c>
      <c r="K82" s="33" t="n"/>
    </row>
    <row r="83" ht="18" customHeight="1" s="109">
      <c r="A83" s="12" t="n"/>
      <c r="B83" s="72" t="n"/>
      <c r="C83" s="12" t="n"/>
      <c r="D83" s="12" t="n"/>
      <c r="E83" s="46" t="n"/>
      <c r="F83" s="46" t="n"/>
      <c r="G83" s="76">
        <f>IF(D83="","",MAX(0,E83-F83))</f>
        <v/>
      </c>
      <c r="H83" s="46" t="n"/>
      <c r="I83" s="46">
        <f>IF(D83="","",IFERROR(VLOOKUP(D83,'📋 Catálogo'!$B$7:$L$41,11,0),""))</f>
        <v/>
      </c>
      <c r="J83" s="46">
        <f>IF(D83="","",IFERROR(VLOOKUP(D83,'📋 Catálogo'!$B$7:$L$41,10,0),""))</f>
        <v/>
      </c>
      <c r="K83" s="46" t="n"/>
    </row>
    <row r="84" ht="18" customHeight="1" s="109">
      <c r="A84" s="8" t="n"/>
      <c r="B84" s="70" t="n"/>
      <c r="C84" s="8" t="n"/>
      <c r="D84" s="8" t="n"/>
      <c r="E84" s="33" t="n"/>
      <c r="F84" s="33" t="n"/>
      <c r="G84" s="76">
        <f>IF(D84="","",MAX(0,E84-F84))</f>
        <v/>
      </c>
      <c r="H84" s="33" t="n"/>
      <c r="I84" s="33">
        <f>IF(D84="","",IFERROR(VLOOKUP(D84,'📋 Catálogo'!$B$7:$L$41,11,0),""))</f>
        <v/>
      </c>
      <c r="J84" s="33">
        <f>IF(D84="","",IFERROR(VLOOKUP(D84,'📋 Catálogo'!$B$7:$L$41,10,0),""))</f>
        <v/>
      </c>
      <c r="K84" s="33" t="n"/>
    </row>
    <row r="85" ht="18" customHeight="1" s="109">
      <c r="A85" s="12" t="n"/>
      <c r="B85" s="72" t="n"/>
      <c r="C85" s="12" t="n"/>
      <c r="D85" s="12" t="n"/>
      <c r="E85" s="46" t="n"/>
      <c r="F85" s="46" t="n"/>
      <c r="G85" s="76">
        <f>IF(D85="","",MAX(0,E85-F85))</f>
        <v/>
      </c>
      <c r="H85" s="46" t="n"/>
      <c r="I85" s="46">
        <f>IF(D85="","",IFERROR(VLOOKUP(D85,'📋 Catálogo'!$B$7:$L$41,11,0),""))</f>
        <v/>
      </c>
      <c r="J85" s="46">
        <f>IF(D85="","",IFERROR(VLOOKUP(D85,'📋 Catálogo'!$B$7:$L$41,10,0),""))</f>
        <v/>
      </c>
      <c r="K85" s="46" t="n"/>
    </row>
    <row r="86" ht="18" customHeight="1" s="109">
      <c r="A86" s="8" t="n"/>
      <c r="B86" s="70" t="n"/>
      <c r="C86" s="8" t="n"/>
      <c r="D86" s="8" t="n"/>
      <c r="E86" s="33" t="n"/>
      <c r="F86" s="33" t="n"/>
      <c r="G86" s="76">
        <f>IF(D86="","",MAX(0,E86-F86))</f>
        <v/>
      </c>
      <c r="H86" s="33" t="n"/>
      <c r="I86" s="33">
        <f>IF(D86="","",IFERROR(VLOOKUP(D86,'📋 Catálogo'!$B$7:$L$41,11,0),""))</f>
        <v/>
      </c>
      <c r="J86" s="33">
        <f>IF(D86="","",IFERROR(VLOOKUP(D86,'📋 Catálogo'!$B$7:$L$41,10,0),""))</f>
        <v/>
      </c>
      <c r="K86" s="33" t="n"/>
    </row>
    <row r="87" ht="18" customHeight="1" s="109">
      <c r="A87" s="12" t="n"/>
      <c r="B87" s="72" t="n"/>
      <c r="C87" s="12" t="n"/>
      <c r="D87" s="12" t="n"/>
      <c r="E87" s="46" t="n"/>
      <c r="F87" s="46" t="n"/>
      <c r="G87" s="76">
        <f>IF(D87="","",MAX(0,E87-F87))</f>
        <v/>
      </c>
      <c r="H87" s="46" t="n"/>
      <c r="I87" s="46">
        <f>IF(D87="","",IFERROR(VLOOKUP(D87,'📋 Catálogo'!$B$7:$L$41,11,0),""))</f>
        <v/>
      </c>
      <c r="J87" s="46">
        <f>IF(D87="","",IFERROR(VLOOKUP(D87,'📋 Catálogo'!$B$7:$L$41,10,0),""))</f>
        <v/>
      </c>
      <c r="K87" s="46" t="n"/>
    </row>
    <row r="88" ht="18" customHeight="1" s="109">
      <c r="A88" s="8" t="n"/>
      <c r="B88" s="70" t="n"/>
      <c r="C88" s="8" t="n"/>
      <c r="D88" s="8" t="n"/>
      <c r="E88" s="33" t="n"/>
      <c r="F88" s="33" t="n"/>
      <c r="G88" s="76">
        <f>IF(D88="","",MAX(0,E88-F88))</f>
        <v/>
      </c>
      <c r="H88" s="33" t="n"/>
      <c r="I88" s="33">
        <f>IF(D88="","",IFERROR(VLOOKUP(D88,'📋 Catálogo'!$B$7:$L$41,11,0),""))</f>
        <v/>
      </c>
      <c r="J88" s="33">
        <f>IF(D88="","",IFERROR(VLOOKUP(D88,'📋 Catálogo'!$B$7:$L$41,10,0),""))</f>
        <v/>
      </c>
      <c r="K88" s="33" t="n"/>
    </row>
    <row r="89" ht="18" customHeight="1" s="109">
      <c r="A89" s="12" t="n"/>
      <c r="B89" s="72" t="n"/>
      <c r="C89" s="12" t="n"/>
      <c r="D89" s="12" t="n"/>
      <c r="E89" s="46" t="n"/>
      <c r="F89" s="46" t="n"/>
      <c r="G89" s="76">
        <f>IF(D89="","",MAX(0,E89-F89))</f>
        <v/>
      </c>
      <c r="H89" s="46" t="n"/>
      <c r="I89" s="46">
        <f>IF(D89="","",IFERROR(VLOOKUP(D89,'📋 Catálogo'!$B$7:$L$41,11,0),""))</f>
        <v/>
      </c>
      <c r="J89" s="46">
        <f>IF(D89="","",IFERROR(VLOOKUP(D89,'📋 Catálogo'!$B$7:$L$41,10,0),""))</f>
        <v/>
      </c>
      <c r="K89" s="46" t="n"/>
    </row>
    <row r="90" ht="18" customHeight="1" s="109">
      <c r="A90" s="8" t="n"/>
      <c r="B90" s="70" t="n"/>
      <c r="C90" s="8" t="n"/>
      <c r="D90" s="8" t="n"/>
      <c r="E90" s="33" t="n"/>
      <c r="F90" s="33" t="n"/>
      <c r="G90" s="76">
        <f>IF(D90="","",MAX(0,E90-F90))</f>
        <v/>
      </c>
      <c r="H90" s="33" t="n"/>
      <c r="I90" s="33">
        <f>IF(D90="","",IFERROR(VLOOKUP(D90,'📋 Catálogo'!$B$7:$L$41,11,0),""))</f>
        <v/>
      </c>
      <c r="J90" s="33">
        <f>IF(D90="","",IFERROR(VLOOKUP(D90,'📋 Catálogo'!$B$7:$L$41,10,0),""))</f>
        <v/>
      </c>
      <c r="K90" s="33" t="n"/>
    </row>
    <row r="91" ht="18" customHeight="1" s="109">
      <c r="A91" s="12" t="n"/>
      <c r="B91" s="72" t="n"/>
      <c r="C91" s="12" t="n"/>
      <c r="D91" s="12" t="n"/>
      <c r="E91" s="46" t="n"/>
      <c r="F91" s="46" t="n"/>
      <c r="G91" s="76">
        <f>IF(D91="","",MAX(0,E91-F91))</f>
        <v/>
      </c>
      <c r="H91" s="46" t="n"/>
      <c r="I91" s="46">
        <f>IF(D91="","",IFERROR(VLOOKUP(D91,'📋 Catálogo'!$B$7:$L$41,11,0),""))</f>
        <v/>
      </c>
      <c r="J91" s="46">
        <f>IF(D91="","",IFERROR(VLOOKUP(D91,'📋 Catálogo'!$B$7:$L$41,10,0),""))</f>
        <v/>
      </c>
      <c r="K91" s="46" t="n"/>
    </row>
    <row r="92" ht="18" customHeight="1" s="109">
      <c r="A92" s="8" t="n"/>
      <c r="B92" s="70" t="n"/>
      <c r="C92" s="8" t="n"/>
      <c r="D92" s="8" t="n"/>
      <c r="E92" s="33" t="n"/>
      <c r="F92" s="33" t="n"/>
      <c r="G92" s="76">
        <f>IF(D92="","",MAX(0,E92-F92))</f>
        <v/>
      </c>
      <c r="H92" s="33" t="n"/>
      <c r="I92" s="33">
        <f>IF(D92="","",IFERROR(VLOOKUP(D92,'📋 Catálogo'!$B$7:$L$41,11,0),""))</f>
        <v/>
      </c>
      <c r="J92" s="33">
        <f>IF(D92="","",IFERROR(VLOOKUP(D92,'📋 Catálogo'!$B$7:$L$41,10,0),""))</f>
        <v/>
      </c>
      <c r="K92" s="33" t="n"/>
    </row>
    <row r="93" ht="18" customHeight="1" s="109">
      <c r="A93" s="12" t="n"/>
      <c r="B93" s="72" t="n"/>
      <c r="C93" s="12" t="n"/>
      <c r="D93" s="12" t="n"/>
      <c r="E93" s="46" t="n"/>
      <c r="F93" s="46" t="n"/>
      <c r="G93" s="76">
        <f>IF(D93="","",MAX(0,E93-F93))</f>
        <v/>
      </c>
      <c r="H93" s="46" t="n"/>
      <c r="I93" s="46">
        <f>IF(D93="","",IFERROR(VLOOKUP(D93,'📋 Catálogo'!$B$7:$L$41,11,0),""))</f>
        <v/>
      </c>
      <c r="J93" s="46">
        <f>IF(D93="","",IFERROR(VLOOKUP(D93,'📋 Catálogo'!$B$7:$L$41,10,0),""))</f>
        <v/>
      </c>
      <c r="K93" s="46" t="n"/>
    </row>
    <row r="94" ht="18" customHeight="1" s="109">
      <c r="A94" s="8" t="n"/>
      <c r="B94" s="70" t="n"/>
      <c r="C94" s="8" t="n"/>
      <c r="D94" s="8" t="n"/>
      <c r="E94" s="33" t="n"/>
      <c r="F94" s="33" t="n"/>
      <c r="G94" s="76">
        <f>IF(D94="","",MAX(0,E94-F94))</f>
        <v/>
      </c>
      <c r="H94" s="33" t="n"/>
      <c r="I94" s="33">
        <f>IF(D94="","",IFERROR(VLOOKUP(D94,'📋 Catálogo'!$B$7:$L$41,11,0),""))</f>
        <v/>
      </c>
      <c r="J94" s="33">
        <f>IF(D94="","",IFERROR(VLOOKUP(D94,'📋 Catálogo'!$B$7:$L$41,10,0),""))</f>
        <v/>
      </c>
      <c r="K94" s="33" t="n"/>
    </row>
    <row r="95" ht="18" customHeight="1" s="109">
      <c r="A95" s="12" t="n"/>
      <c r="B95" s="72" t="n"/>
      <c r="C95" s="12" t="n"/>
      <c r="D95" s="12" t="n"/>
      <c r="E95" s="46" t="n"/>
      <c r="F95" s="46" t="n"/>
      <c r="G95" s="76">
        <f>IF(D95="","",MAX(0,E95-F95))</f>
        <v/>
      </c>
      <c r="H95" s="46" t="n"/>
      <c r="I95" s="46">
        <f>IF(D95="","",IFERROR(VLOOKUP(D95,'📋 Catálogo'!$B$7:$L$41,11,0),""))</f>
        <v/>
      </c>
      <c r="J95" s="46">
        <f>IF(D95="","",IFERROR(VLOOKUP(D95,'📋 Catálogo'!$B$7:$L$41,10,0),""))</f>
        <v/>
      </c>
      <c r="K95" s="46" t="n"/>
    </row>
    <row r="96" ht="18" customHeight="1" s="109">
      <c r="A96" s="8" t="n"/>
      <c r="B96" s="70" t="n"/>
      <c r="C96" s="8" t="n"/>
      <c r="D96" s="8" t="n"/>
      <c r="E96" s="33" t="n"/>
      <c r="F96" s="33" t="n"/>
      <c r="G96" s="76">
        <f>IF(D96="","",MAX(0,E96-F96))</f>
        <v/>
      </c>
      <c r="H96" s="33" t="n"/>
      <c r="I96" s="33">
        <f>IF(D96="","",IFERROR(VLOOKUP(D96,'📋 Catálogo'!$B$7:$L$41,11,0),""))</f>
        <v/>
      </c>
      <c r="J96" s="33">
        <f>IF(D96="","",IFERROR(VLOOKUP(D96,'📋 Catálogo'!$B$7:$L$41,10,0),""))</f>
        <v/>
      </c>
      <c r="K96" s="33" t="n"/>
    </row>
    <row r="97" ht="18" customHeight="1" s="109">
      <c r="A97" s="12" t="n"/>
      <c r="B97" s="72" t="n"/>
      <c r="C97" s="12" t="n"/>
      <c r="D97" s="12" t="n"/>
      <c r="E97" s="46" t="n"/>
      <c r="F97" s="46" t="n"/>
      <c r="G97" s="76">
        <f>IF(D97="","",MAX(0,E97-F97))</f>
        <v/>
      </c>
      <c r="H97" s="46" t="n"/>
      <c r="I97" s="46">
        <f>IF(D97="","",IFERROR(VLOOKUP(D97,'📋 Catálogo'!$B$7:$L$41,11,0),""))</f>
        <v/>
      </c>
      <c r="J97" s="46">
        <f>IF(D97="","",IFERROR(VLOOKUP(D97,'📋 Catálogo'!$B$7:$L$41,10,0),""))</f>
        <v/>
      </c>
      <c r="K97" s="46" t="n"/>
    </row>
    <row r="98" ht="18" customHeight="1" s="109">
      <c r="A98" s="8" t="n"/>
      <c r="B98" s="70" t="n"/>
      <c r="C98" s="8" t="n"/>
      <c r="D98" s="8" t="n"/>
      <c r="E98" s="33" t="n"/>
      <c r="F98" s="33" t="n"/>
      <c r="G98" s="76">
        <f>IF(D98="","",MAX(0,E98-F98))</f>
        <v/>
      </c>
      <c r="H98" s="33" t="n"/>
      <c r="I98" s="33">
        <f>IF(D98="","",IFERROR(VLOOKUP(D98,'📋 Catálogo'!$B$7:$L$41,11,0),""))</f>
        <v/>
      </c>
      <c r="J98" s="33">
        <f>IF(D98="","",IFERROR(VLOOKUP(D98,'📋 Catálogo'!$B$7:$L$41,10,0),""))</f>
        <v/>
      </c>
      <c r="K98" s="33" t="n"/>
    </row>
    <row r="99" ht="18" customHeight="1" s="109">
      <c r="A99" s="12" t="n"/>
      <c r="B99" s="72" t="n"/>
      <c r="C99" s="12" t="n"/>
      <c r="D99" s="12" t="n"/>
      <c r="E99" s="46" t="n"/>
      <c r="F99" s="46" t="n"/>
      <c r="G99" s="76">
        <f>IF(D99="","",MAX(0,E99-F99))</f>
        <v/>
      </c>
      <c r="H99" s="46" t="n"/>
      <c r="I99" s="46">
        <f>IF(D99="","",IFERROR(VLOOKUP(D99,'📋 Catálogo'!$B$7:$L$41,11,0),""))</f>
        <v/>
      </c>
      <c r="J99" s="46">
        <f>IF(D99="","",IFERROR(VLOOKUP(D99,'📋 Catálogo'!$B$7:$L$41,10,0),""))</f>
        <v/>
      </c>
      <c r="K99" s="46" t="n"/>
    </row>
    <row r="100" ht="18" customHeight="1" s="109">
      <c r="A100" s="8" t="n"/>
      <c r="B100" s="70" t="n"/>
      <c r="C100" s="8" t="n"/>
      <c r="D100" s="8" t="n"/>
      <c r="E100" s="33" t="n"/>
      <c r="F100" s="33" t="n"/>
      <c r="G100" s="76">
        <f>IF(D100="","",MAX(0,E100-F100))</f>
        <v/>
      </c>
      <c r="H100" s="33" t="n"/>
      <c r="I100" s="33">
        <f>IF(D100="","",IFERROR(VLOOKUP(D100,'📋 Catálogo'!$B$7:$L$41,11,0),""))</f>
        <v/>
      </c>
      <c r="J100" s="33">
        <f>IF(D100="","",IFERROR(VLOOKUP(D100,'📋 Catálogo'!$B$7:$L$41,10,0),""))</f>
        <v/>
      </c>
      <c r="K100" s="33" t="n"/>
    </row>
    <row r="101" ht="18" customHeight="1" s="109">
      <c r="A101" s="12" t="n"/>
      <c r="B101" s="72" t="n"/>
      <c r="C101" s="12" t="n"/>
      <c r="D101" s="12" t="n"/>
      <c r="E101" s="46" t="n"/>
      <c r="F101" s="46" t="n"/>
      <c r="G101" s="76">
        <f>IF(D101="","",MAX(0,E101-F101))</f>
        <v/>
      </c>
      <c r="H101" s="46" t="n"/>
      <c r="I101" s="46">
        <f>IF(D101="","",IFERROR(VLOOKUP(D101,'📋 Catálogo'!$B$7:$L$41,11,0),""))</f>
        <v/>
      </c>
      <c r="J101" s="46">
        <f>IF(D101="","",IFERROR(VLOOKUP(D101,'📋 Catálogo'!$B$7:$L$41,10,0),""))</f>
        <v/>
      </c>
      <c r="K101" s="46" t="n"/>
    </row>
    <row r="102" ht="18" customHeight="1" s="109">
      <c r="A102" s="8" t="n"/>
      <c r="B102" s="70" t="n"/>
      <c r="C102" s="8" t="n"/>
      <c r="D102" s="8" t="n"/>
      <c r="E102" s="33" t="n"/>
      <c r="F102" s="33" t="n"/>
      <c r="G102" s="76">
        <f>IF(D102="","",MAX(0,E102-F102))</f>
        <v/>
      </c>
      <c r="H102" s="33" t="n"/>
      <c r="I102" s="33">
        <f>IF(D102="","",IFERROR(VLOOKUP(D102,'📋 Catálogo'!$B$7:$L$41,11,0),""))</f>
        <v/>
      </c>
      <c r="J102" s="33">
        <f>IF(D102="","",IFERROR(VLOOKUP(D102,'📋 Catálogo'!$B$7:$L$41,10,0),""))</f>
        <v/>
      </c>
      <c r="K102" s="33" t="n"/>
    </row>
    <row r="103" ht="18" customHeight="1" s="109">
      <c r="A103" s="12" t="n"/>
      <c r="B103" s="72" t="n"/>
      <c r="C103" s="12" t="n"/>
      <c r="D103" s="12" t="n"/>
      <c r="E103" s="46" t="n"/>
      <c r="F103" s="46" t="n"/>
      <c r="G103" s="76">
        <f>IF(D103="","",MAX(0,E103-F103))</f>
        <v/>
      </c>
      <c r="H103" s="46" t="n"/>
      <c r="I103" s="46">
        <f>IF(D103="","",IFERROR(VLOOKUP(D103,'📋 Catálogo'!$B$7:$L$41,11,0),""))</f>
        <v/>
      </c>
      <c r="J103" s="46">
        <f>IF(D103="","",IFERROR(VLOOKUP(D103,'📋 Catálogo'!$B$7:$L$41,10,0),""))</f>
        <v/>
      </c>
      <c r="K103" s="46" t="n"/>
    </row>
    <row r="104" ht="18" customHeight="1" s="109">
      <c r="A104" s="8" t="n"/>
      <c r="B104" s="70" t="n"/>
      <c r="C104" s="8" t="n"/>
      <c r="D104" s="8" t="n"/>
      <c r="E104" s="33" t="n"/>
      <c r="F104" s="33" t="n"/>
      <c r="G104" s="76">
        <f>IF(D104="","",MAX(0,E104-F104))</f>
        <v/>
      </c>
      <c r="H104" s="33" t="n"/>
      <c r="I104" s="33">
        <f>IF(D104="","",IFERROR(VLOOKUP(D104,'📋 Catálogo'!$B$7:$L$41,11,0),""))</f>
        <v/>
      </c>
      <c r="J104" s="33">
        <f>IF(D104="","",IFERROR(VLOOKUP(D104,'📋 Catálogo'!$B$7:$L$41,10,0),""))</f>
        <v/>
      </c>
      <c r="K104" s="33" t="n"/>
    </row>
    <row r="105" ht="18" customHeight="1" s="109">
      <c r="A105" s="12" t="n"/>
      <c r="B105" s="72" t="n"/>
      <c r="C105" s="12" t="n"/>
      <c r="D105" s="12" t="n"/>
      <c r="E105" s="46" t="n"/>
      <c r="F105" s="46" t="n"/>
      <c r="G105" s="76">
        <f>IF(D105="","",MAX(0,E105-F105))</f>
        <v/>
      </c>
      <c r="H105" s="46" t="n"/>
      <c r="I105" s="46">
        <f>IF(D105="","",IFERROR(VLOOKUP(D105,'📋 Catálogo'!$B$7:$L$41,11,0),""))</f>
        <v/>
      </c>
      <c r="J105" s="46">
        <f>IF(D105="","",IFERROR(VLOOKUP(D105,'📋 Catálogo'!$B$7:$L$41,10,0),""))</f>
        <v/>
      </c>
      <c r="K105" s="46" t="n"/>
    </row>
    <row r="106" ht="18" customHeight="1" s="109">
      <c r="A106" s="8" t="n"/>
      <c r="B106" s="70" t="n"/>
      <c r="C106" s="8" t="n"/>
      <c r="D106" s="8" t="n"/>
      <c r="E106" s="33" t="n"/>
      <c r="F106" s="33" t="n"/>
      <c r="G106" s="76">
        <f>IF(D106="","",MAX(0,E106-F106))</f>
        <v/>
      </c>
      <c r="H106" s="33" t="n"/>
      <c r="I106" s="33">
        <f>IF(D106="","",IFERROR(VLOOKUP(D106,'📋 Catálogo'!$B$7:$L$41,11,0),""))</f>
        <v/>
      </c>
      <c r="J106" s="33">
        <f>IF(D106="","",IFERROR(VLOOKUP(D106,'📋 Catálogo'!$B$7:$L$41,10,0),""))</f>
        <v/>
      </c>
      <c r="K106" s="33" t="n"/>
    </row>
    <row r="107" ht="18" customHeight="1" s="109">
      <c r="A107" s="12" t="n"/>
      <c r="B107" s="72" t="n"/>
      <c r="C107" s="12" t="n"/>
      <c r="D107" s="12" t="n"/>
      <c r="E107" s="46" t="n"/>
      <c r="F107" s="46" t="n"/>
      <c r="G107" s="76">
        <f>IF(D107="","",MAX(0,E107-F107))</f>
        <v/>
      </c>
      <c r="H107" s="46" t="n"/>
      <c r="I107" s="46">
        <f>IF(D107="","",IFERROR(VLOOKUP(D107,'📋 Catálogo'!$B$7:$L$41,11,0),""))</f>
        <v/>
      </c>
      <c r="J107" s="46">
        <f>IF(D107="","",IFERROR(VLOOKUP(D107,'📋 Catálogo'!$B$7:$L$41,10,0),""))</f>
        <v/>
      </c>
      <c r="K107" s="46" t="n"/>
    </row>
    <row r="108" ht="18" customHeight="1" s="109">
      <c r="A108" s="8" t="n"/>
      <c r="B108" s="70" t="n"/>
      <c r="C108" s="8" t="n"/>
      <c r="D108" s="8" t="n"/>
      <c r="E108" s="33" t="n"/>
      <c r="F108" s="33" t="n"/>
      <c r="G108" s="76">
        <f>IF(D108="","",MAX(0,E108-F108))</f>
        <v/>
      </c>
      <c r="H108" s="33" t="n"/>
      <c r="I108" s="33">
        <f>IF(D108="","",IFERROR(VLOOKUP(D108,'📋 Catálogo'!$B$7:$L$41,11,0),""))</f>
        <v/>
      </c>
      <c r="J108" s="33">
        <f>IF(D108="","",IFERROR(VLOOKUP(D108,'📋 Catálogo'!$B$7:$L$41,10,0),""))</f>
        <v/>
      </c>
      <c r="K108" s="33" t="n"/>
    </row>
    <row r="109" ht="18" customHeight="1" s="109">
      <c r="A109" s="12" t="n"/>
      <c r="B109" s="72" t="n"/>
      <c r="C109" s="12" t="n"/>
      <c r="D109" s="12" t="n"/>
      <c r="E109" s="46" t="n"/>
      <c r="F109" s="46" t="n"/>
      <c r="G109" s="76">
        <f>IF(D109="","",MAX(0,E109-F109))</f>
        <v/>
      </c>
      <c r="H109" s="46" t="n"/>
      <c r="I109" s="46">
        <f>IF(D109="","",IFERROR(VLOOKUP(D109,'📋 Catálogo'!$B$7:$L$41,11,0),""))</f>
        <v/>
      </c>
      <c r="J109" s="46">
        <f>IF(D109="","",IFERROR(VLOOKUP(D109,'📋 Catálogo'!$B$7:$L$41,10,0),""))</f>
        <v/>
      </c>
      <c r="K109" s="46" t="n"/>
    </row>
    <row r="110" ht="18" customHeight="1" s="109">
      <c r="A110" s="8" t="n"/>
      <c r="B110" s="70" t="n"/>
      <c r="C110" s="8" t="n"/>
      <c r="D110" s="8" t="n"/>
      <c r="E110" s="33" t="n"/>
      <c r="F110" s="33" t="n"/>
      <c r="G110" s="76">
        <f>IF(D110="","",MAX(0,E110-F110))</f>
        <v/>
      </c>
      <c r="H110" s="33" t="n"/>
      <c r="I110" s="33">
        <f>IF(D110="","",IFERROR(VLOOKUP(D110,'📋 Catálogo'!$B$7:$L$41,11,0),""))</f>
        <v/>
      </c>
      <c r="J110" s="33">
        <f>IF(D110="","",IFERROR(VLOOKUP(D110,'📋 Catálogo'!$B$7:$L$41,10,0),""))</f>
        <v/>
      </c>
      <c r="K110" s="33" t="n"/>
    </row>
    <row r="111" ht="18" customHeight="1" s="109">
      <c r="A111" s="12" t="n"/>
      <c r="B111" s="72" t="n"/>
      <c r="C111" s="12" t="n"/>
      <c r="D111" s="12" t="n"/>
      <c r="E111" s="46" t="n"/>
      <c r="F111" s="46" t="n"/>
      <c r="G111" s="76">
        <f>IF(D111="","",MAX(0,E111-F111))</f>
        <v/>
      </c>
      <c r="H111" s="46" t="n"/>
      <c r="I111" s="46">
        <f>IF(D111="","",IFERROR(VLOOKUP(D111,'📋 Catálogo'!$B$7:$L$41,11,0),""))</f>
        <v/>
      </c>
      <c r="J111" s="46">
        <f>IF(D111="","",IFERROR(VLOOKUP(D111,'📋 Catálogo'!$B$7:$L$41,10,0),""))</f>
        <v/>
      </c>
      <c r="K111" s="46" t="n"/>
    </row>
    <row r="112" ht="18" customHeight="1" s="109">
      <c r="A112" s="8" t="n"/>
      <c r="B112" s="70" t="n"/>
      <c r="C112" s="8" t="n"/>
      <c r="D112" s="8" t="n"/>
      <c r="E112" s="33" t="n"/>
      <c r="F112" s="33" t="n"/>
      <c r="G112" s="76">
        <f>IF(D112="","",MAX(0,E112-F112))</f>
        <v/>
      </c>
      <c r="H112" s="33" t="n"/>
      <c r="I112" s="33">
        <f>IF(D112="","",IFERROR(VLOOKUP(D112,'📋 Catálogo'!$B$7:$L$41,11,0),""))</f>
        <v/>
      </c>
      <c r="J112" s="33">
        <f>IF(D112="","",IFERROR(VLOOKUP(D112,'📋 Catálogo'!$B$7:$L$41,10,0),""))</f>
        <v/>
      </c>
      <c r="K112" s="33" t="n"/>
    </row>
    <row r="113" ht="18" customHeight="1" s="109">
      <c r="A113" s="12" t="n"/>
      <c r="B113" s="72" t="n"/>
      <c r="C113" s="12" t="n"/>
      <c r="D113" s="12" t="n"/>
      <c r="E113" s="46" t="n"/>
      <c r="F113" s="46" t="n"/>
      <c r="G113" s="76">
        <f>IF(D113="","",MAX(0,E113-F113))</f>
        <v/>
      </c>
      <c r="H113" s="46" t="n"/>
      <c r="I113" s="46">
        <f>IF(D113="","",IFERROR(VLOOKUP(D113,'📋 Catálogo'!$B$7:$L$41,11,0),""))</f>
        <v/>
      </c>
      <c r="J113" s="46">
        <f>IF(D113="","",IFERROR(VLOOKUP(D113,'📋 Catálogo'!$B$7:$L$41,10,0),""))</f>
        <v/>
      </c>
      <c r="K113" s="46" t="n"/>
    </row>
    <row r="114" ht="18" customHeight="1" s="109">
      <c r="A114" s="8" t="n"/>
      <c r="B114" s="70" t="n"/>
      <c r="C114" s="8" t="n"/>
      <c r="D114" s="8" t="n"/>
      <c r="E114" s="33" t="n"/>
      <c r="F114" s="33" t="n"/>
      <c r="G114" s="76">
        <f>IF(D114="","",MAX(0,E114-F114))</f>
        <v/>
      </c>
      <c r="H114" s="33" t="n"/>
      <c r="I114" s="33">
        <f>IF(D114="","",IFERROR(VLOOKUP(D114,'📋 Catálogo'!$B$7:$L$41,11,0),""))</f>
        <v/>
      </c>
      <c r="J114" s="33">
        <f>IF(D114="","",IFERROR(VLOOKUP(D114,'📋 Catálogo'!$B$7:$L$41,10,0),""))</f>
        <v/>
      </c>
      <c r="K114" s="33" t="n"/>
    </row>
    <row r="115" ht="18" customHeight="1" s="109">
      <c r="A115" s="12" t="n"/>
      <c r="B115" s="72" t="n"/>
      <c r="C115" s="12" t="n"/>
      <c r="D115" s="12" t="n"/>
      <c r="E115" s="46" t="n"/>
      <c r="F115" s="46" t="n"/>
      <c r="G115" s="76">
        <f>IF(D115="","",MAX(0,E115-F115))</f>
        <v/>
      </c>
      <c r="H115" s="46" t="n"/>
      <c r="I115" s="46">
        <f>IF(D115="","",IFERROR(VLOOKUP(D115,'📋 Catálogo'!$B$7:$L$41,11,0),""))</f>
        <v/>
      </c>
      <c r="J115" s="46">
        <f>IF(D115="","",IFERROR(VLOOKUP(D115,'📋 Catálogo'!$B$7:$L$41,10,0),""))</f>
        <v/>
      </c>
      <c r="K115" s="46" t="n"/>
    </row>
    <row r="116" ht="18" customHeight="1" s="109">
      <c r="A116" s="8" t="n"/>
      <c r="B116" s="70" t="n"/>
      <c r="C116" s="8" t="n"/>
      <c r="D116" s="8" t="n"/>
      <c r="E116" s="33" t="n"/>
      <c r="F116" s="33" t="n"/>
      <c r="G116" s="76">
        <f>IF(D116="","",MAX(0,E116-F116))</f>
        <v/>
      </c>
      <c r="H116" s="33" t="n"/>
      <c r="I116" s="33">
        <f>IF(D116="","",IFERROR(VLOOKUP(D116,'📋 Catálogo'!$B$7:$L$41,11,0),""))</f>
        <v/>
      </c>
      <c r="J116" s="33">
        <f>IF(D116="","",IFERROR(VLOOKUP(D116,'📋 Catálogo'!$B$7:$L$41,10,0),""))</f>
        <v/>
      </c>
      <c r="K116" s="33" t="n"/>
    </row>
    <row r="117" ht="18" customHeight="1" s="109">
      <c r="A117" s="12" t="n"/>
      <c r="B117" s="72" t="n"/>
      <c r="C117" s="12" t="n"/>
      <c r="D117" s="12" t="n"/>
      <c r="E117" s="46" t="n"/>
      <c r="F117" s="46" t="n"/>
      <c r="G117" s="76">
        <f>IF(D117="","",MAX(0,E117-F117))</f>
        <v/>
      </c>
      <c r="H117" s="46" t="n"/>
      <c r="I117" s="46">
        <f>IF(D117="","",IFERROR(VLOOKUP(D117,'📋 Catálogo'!$B$7:$L$41,11,0),""))</f>
        <v/>
      </c>
      <c r="J117" s="46">
        <f>IF(D117="","",IFERROR(VLOOKUP(D117,'📋 Catálogo'!$B$7:$L$41,10,0),""))</f>
        <v/>
      </c>
      <c r="K117" s="46" t="n"/>
    </row>
    <row r="118" ht="18" customHeight="1" s="109">
      <c r="A118" s="8" t="n"/>
      <c r="B118" s="70" t="n"/>
      <c r="C118" s="8" t="n"/>
      <c r="D118" s="8" t="n"/>
      <c r="E118" s="33" t="n"/>
      <c r="F118" s="33" t="n"/>
      <c r="G118" s="76">
        <f>IF(D118="","",MAX(0,E118-F118))</f>
        <v/>
      </c>
      <c r="H118" s="33" t="n"/>
      <c r="I118" s="33">
        <f>IF(D118="","",IFERROR(VLOOKUP(D118,'📋 Catálogo'!$B$7:$L$41,11,0),""))</f>
        <v/>
      </c>
      <c r="J118" s="33">
        <f>IF(D118="","",IFERROR(VLOOKUP(D118,'📋 Catálogo'!$B$7:$L$41,10,0),""))</f>
        <v/>
      </c>
      <c r="K118" s="33" t="n"/>
    </row>
    <row r="119" ht="18" customHeight="1" s="109">
      <c r="A119" s="12" t="n"/>
      <c r="B119" s="72" t="n"/>
      <c r="C119" s="12" t="n"/>
      <c r="D119" s="12" t="n"/>
      <c r="E119" s="46" t="n"/>
      <c r="F119" s="46" t="n"/>
      <c r="G119" s="76">
        <f>IF(D119="","",MAX(0,E119-F119))</f>
        <v/>
      </c>
      <c r="H119" s="46" t="n"/>
      <c r="I119" s="46">
        <f>IF(D119="","",IFERROR(VLOOKUP(D119,'📋 Catálogo'!$B$7:$L$41,11,0),""))</f>
        <v/>
      </c>
      <c r="J119" s="46">
        <f>IF(D119="","",IFERROR(VLOOKUP(D119,'📋 Catálogo'!$B$7:$L$41,10,0),""))</f>
        <v/>
      </c>
      <c r="K119" s="46" t="n"/>
    </row>
    <row r="120" ht="18" customHeight="1" s="109">
      <c r="A120" s="8" t="n"/>
      <c r="B120" s="70" t="n"/>
      <c r="C120" s="8" t="n"/>
      <c r="D120" s="8" t="n"/>
      <c r="E120" s="33" t="n"/>
      <c r="F120" s="33" t="n"/>
      <c r="G120" s="76">
        <f>IF(D120="","",MAX(0,E120-F120))</f>
        <v/>
      </c>
      <c r="H120" s="33" t="n"/>
      <c r="I120" s="33">
        <f>IF(D120="","",IFERROR(VLOOKUP(D120,'📋 Catálogo'!$B$7:$L$41,11,0),""))</f>
        <v/>
      </c>
      <c r="J120" s="33">
        <f>IF(D120="","",IFERROR(VLOOKUP(D120,'📋 Catálogo'!$B$7:$L$41,10,0),""))</f>
        <v/>
      </c>
      <c r="K120" s="33" t="n"/>
    </row>
    <row r="121" ht="18" customHeight="1" s="109">
      <c r="A121" s="12" t="n"/>
      <c r="B121" s="72" t="n"/>
      <c r="C121" s="12" t="n"/>
      <c r="D121" s="12" t="n"/>
      <c r="E121" s="46" t="n"/>
      <c r="F121" s="46" t="n"/>
      <c r="G121" s="76">
        <f>IF(D121="","",MAX(0,E121-F121))</f>
        <v/>
      </c>
      <c r="H121" s="46" t="n"/>
      <c r="I121" s="46">
        <f>IF(D121="","",IFERROR(VLOOKUP(D121,'📋 Catálogo'!$B$7:$L$41,11,0),""))</f>
        <v/>
      </c>
      <c r="J121" s="46">
        <f>IF(D121="","",IFERROR(VLOOKUP(D121,'📋 Catálogo'!$B$7:$L$41,10,0),""))</f>
        <v/>
      </c>
      <c r="K121" s="46" t="n"/>
    </row>
    <row r="122" ht="18" customHeight="1" s="109">
      <c r="A122" s="8" t="n"/>
      <c r="B122" s="70" t="n"/>
      <c r="C122" s="8" t="n"/>
      <c r="D122" s="8" t="n"/>
      <c r="E122" s="33" t="n"/>
      <c r="F122" s="33" t="n"/>
      <c r="G122" s="76">
        <f>IF(D122="","",MAX(0,E122-F122))</f>
        <v/>
      </c>
      <c r="H122" s="33" t="n"/>
      <c r="I122" s="33">
        <f>IF(D122="","",IFERROR(VLOOKUP(D122,'📋 Catálogo'!$B$7:$L$41,11,0),""))</f>
        <v/>
      </c>
      <c r="J122" s="33">
        <f>IF(D122="","",IFERROR(VLOOKUP(D122,'📋 Catálogo'!$B$7:$L$41,10,0),""))</f>
        <v/>
      </c>
      <c r="K122" s="33" t="n"/>
    </row>
    <row r="123" ht="18" customHeight="1" s="109">
      <c r="A123" s="12" t="n"/>
      <c r="B123" s="72" t="n"/>
      <c r="C123" s="12" t="n"/>
      <c r="D123" s="12" t="n"/>
      <c r="E123" s="46" t="n"/>
      <c r="F123" s="46" t="n"/>
      <c r="G123" s="76">
        <f>IF(D123="","",MAX(0,E123-F123))</f>
        <v/>
      </c>
      <c r="H123" s="46" t="n"/>
      <c r="I123" s="46">
        <f>IF(D123="","",IFERROR(VLOOKUP(D123,'📋 Catálogo'!$B$7:$L$41,11,0),""))</f>
        <v/>
      </c>
      <c r="J123" s="46">
        <f>IF(D123="","",IFERROR(VLOOKUP(D123,'📋 Catálogo'!$B$7:$L$41,10,0),""))</f>
        <v/>
      </c>
      <c r="K123" s="46" t="n"/>
    </row>
    <row r="124" ht="18" customHeight="1" s="109">
      <c r="A124" s="8" t="n"/>
      <c r="B124" s="70" t="n"/>
      <c r="C124" s="8" t="n"/>
      <c r="D124" s="8" t="n"/>
      <c r="E124" s="33" t="n"/>
      <c r="F124" s="33" t="n"/>
      <c r="G124" s="76">
        <f>IF(D124="","",MAX(0,E124-F124))</f>
        <v/>
      </c>
      <c r="H124" s="33" t="n"/>
      <c r="I124" s="33">
        <f>IF(D124="","",IFERROR(VLOOKUP(D124,'📋 Catálogo'!$B$7:$L$41,11,0),""))</f>
        <v/>
      </c>
      <c r="J124" s="33">
        <f>IF(D124="","",IFERROR(VLOOKUP(D124,'📋 Catálogo'!$B$7:$L$41,10,0),""))</f>
        <v/>
      </c>
      <c r="K124" s="33" t="n"/>
    </row>
    <row r="125" ht="18" customHeight="1" s="109">
      <c r="A125" s="12" t="n"/>
      <c r="B125" s="72" t="n"/>
      <c r="C125" s="12" t="n"/>
      <c r="D125" s="12" t="n"/>
      <c r="E125" s="46" t="n"/>
      <c r="F125" s="46" t="n"/>
      <c r="G125" s="76">
        <f>IF(D125="","",MAX(0,E125-F125))</f>
        <v/>
      </c>
      <c r="H125" s="46" t="n"/>
      <c r="I125" s="46">
        <f>IF(D125="","",IFERROR(VLOOKUP(D125,'📋 Catálogo'!$B$7:$L$41,11,0),""))</f>
        <v/>
      </c>
      <c r="J125" s="46">
        <f>IF(D125="","",IFERROR(VLOOKUP(D125,'📋 Catálogo'!$B$7:$L$41,10,0),""))</f>
        <v/>
      </c>
      <c r="K125" s="46" t="n"/>
    </row>
    <row r="126" ht="18" customHeight="1" s="109">
      <c r="A126" s="8" t="n"/>
      <c r="B126" s="70" t="n"/>
      <c r="C126" s="8" t="n"/>
      <c r="D126" s="8" t="n"/>
      <c r="E126" s="33" t="n"/>
      <c r="F126" s="33" t="n"/>
      <c r="G126" s="76">
        <f>IF(D126="","",MAX(0,E126-F126))</f>
        <v/>
      </c>
      <c r="H126" s="33" t="n"/>
      <c r="I126" s="33">
        <f>IF(D126="","",IFERROR(VLOOKUP(D126,'📋 Catálogo'!$B$7:$L$41,11,0),""))</f>
        <v/>
      </c>
      <c r="J126" s="33">
        <f>IF(D126="","",IFERROR(VLOOKUP(D126,'📋 Catálogo'!$B$7:$L$41,10,0),""))</f>
        <v/>
      </c>
      <c r="K126" s="33" t="n"/>
    </row>
    <row r="127" ht="18" customHeight="1" s="109">
      <c r="A127" s="12" t="n"/>
      <c r="B127" s="72" t="n"/>
      <c r="C127" s="12" t="n"/>
      <c r="D127" s="12" t="n"/>
      <c r="E127" s="46" t="n"/>
      <c r="F127" s="46" t="n"/>
      <c r="G127" s="76">
        <f>IF(D127="","",MAX(0,E127-F127))</f>
        <v/>
      </c>
      <c r="H127" s="46" t="n"/>
      <c r="I127" s="46">
        <f>IF(D127="","",IFERROR(VLOOKUP(D127,'📋 Catálogo'!$B$7:$L$41,11,0),""))</f>
        <v/>
      </c>
      <c r="J127" s="46">
        <f>IF(D127="","",IFERROR(VLOOKUP(D127,'📋 Catálogo'!$B$7:$L$41,10,0),""))</f>
        <v/>
      </c>
      <c r="K127" s="46" t="n"/>
    </row>
    <row r="128" ht="18" customHeight="1" s="109">
      <c r="A128" s="8" t="n"/>
      <c r="B128" s="70" t="n"/>
      <c r="C128" s="8" t="n"/>
      <c r="D128" s="8" t="n"/>
      <c r="E128" s="33" t="n"/>
      <c r="F128" s="33" t="n"/>
      <c r="G128" s="76">
        <f>IF(D128="","",MAX(0,E128-F128))</f>
        <v/>
      </c>
      <c r="H128" s="33" t="n"/>
      <c r="I128" s="33">
        <f>IF(D128="","",IFERROR(VLOOKUP(D128,'📋 Catálogo'!$B$7:$L$41,11,0),""))</f>
        <v/>
      </c>
      <c r="J128" s="33">
        <f>IF(D128="","",IFERROR(VLOOKUP(D128,'📋 Catálogo'!$B$7:$L$41,10,0),""))</f>
        <v/>
      </c>
      <c r="K128" s="33" t="n"/>
    </row>
    <row r="129" ht="18" customHeight="1" s="109">
      <c r="A129" s="12" t="n"/>
      <c r="B129" s="72" t="n"/>
      <c r="C129" s="12" t="n"/>
      <c r="D129" s="12" t="n"/>
      <c r="E129" s="46" t="n"/>
      <c r="F129" s="46" t="n"/>
      <c r="G129" s="76">
        <f>IF(D129="","",MAX(0,E129-F129))</f>
        <v/>
      </c>
      <c r="H129" s="46" t="n"/>
      <c r="I129" s="46">
        <f>IF(D129="","",IFERROR(VLOOKUP(D129,'📋 Catálogo'!$B$7:$L$41,11,0),""))</f>
        <v/>
      </c>
      <c r="J129" s="46">
        <f>IF(D129="","",IFERROR(VLOOKUP(D129,'📋 Catálogo'!$B$7:$L$41,10,0),""))</f>
        <v/>
      </c>
      <c r="K129" s="46" t="n"/>
    </row>
    <row r="130" ht="18" customHeight="1" s="109">
      <c r="A130" s="8" t="n"/>
      <c r="B130" s="70" t="n"/>
      <c r="C130" s="8" t="n"/>
      <c r="D130" s="8" t="n"/>
      <c r="E130" s="33" t="n"/>
      <c r="F130" s="33" t="n"/>
      <c r="G130" s="76">
        <f>IF(D130="","",MAX(0,E130-F130))</f>
        <v/>
      </c>
      <c r="H130" s="33" t="n"/>
      <c r="I130" s="33">
        <f>IF(D130="","",IFERROR(VLOOKUP(D130,'📋 Catálogo'!$B$7:$L$41,11,0),""))</f>
        <v/>
      </c>
      <c r="J130" s="33">
        <f>IF(D130="","",IFERROR(VLOOKUP(D130,'📋 Catálogo'!$B$7:$L$41,10,0),""))</f>
        <v/>
      </c>
      <c r="K130" s="33" t="n"/>
    </row>
    <row r="131" ht="18" customHeight="1" s="109">
      <c r="A131" s="12" t="n"/>
      <c r="B131" s="72" t="n"/>
      <c r="C131" s="12" t="n"/>
      <c r="D131" s="12" t="n"/>
      <c r="E131" s="46" t="n"/>
      <c r="F131" s="46" t="n"/>
      <c r="G131" s="76">
        <f>IF(D131="","",MAX(0,E131-F131))</f>
        <v/>
      </c>
      <c r="H131" s="46" t="n"/>
      <c r="I131" s="46">
        <f>IF(D131="","",IFERROR(VLOOKUP(D131,'📋 Catálogo'!$B$7:$L$41,11,0),""))</f>
        <v/>
      </c>
      <c r="J131" s="46">
        <f>IF(D131="","",IFERROR(VLOOKUP(D131,'📋 Catálogo'!$B$7:$L$41,10,0),""))</f>
        <v/>
      </c>
      <c r="K131" s="46" t="n"/>
    </row>
    <row r="132" ht="18" customHeight="1" s="109">
      <c r="A132" s="8" t="n"/>
      <c r="B132" s="70" t="n"/>
      <c r="C132" s="8" t="n"/>
      <c r="D132" s="8" t="n"/>
      <c r="E132" s="33" t="n"/>
      <c r="F132" s="33" t="n"/>
      <c r="G132" s="76">
        <f>IF(D132="","",MAX(0,E132-F132))</f>
        <v/>
      </c>
      <c r="H132" s="33" t="n"/>
      <c r="I132" s="33">
        <f>IF(D132="","",IFERROR(VLOOKUP(D132,'📋 Catálogo'!$B$7:$L$41,11,0),""))</f>
        <v/>
      </c>
      <c r="J132" s="33">
        <f>IF(D132="","",IFERROR(VLOOKUP(D132,'📋 Catálogo'!$B$7:$L$41,10,0),""))</f>
        <v/>
      </c>
      <c r="K132" s="33" t="n"/>
    </row>
    <row r="133" ht="18" customHeight="1" s="109">
      <c r="A133" s="12" t="n"/>
      <c r="B133" s="72" t="n"/>
      <c r="C133" s="12" t="n"/>
      <c r="D133" s="12" t="n"/>
      <c r="E133" s="46" t="n"/>
      <c r="F133" s="46" t="n"/>
      <c r="G133" s="76">
        <f>IF(D133="","",MAX(0,E133-F133))</f>
        <v/>
      </c>
      <c r="H133" s="46" t="n"/>
      <c r="I133" s="46">
        <f>IF(D133="","",IFERROR(VLOOKUP(D133,'📋 Catálogo'!$B$7:$L$41,11,0),""))</f>
        <v/>
      </c>
      <c r="J133" s="46">
        <f>IF(D133="","",IFERROR(VLOOKUP(D133,'📋 Catálogo'!$B$7:$L$41,10,0),""))</f>
        <v/>
      </c>
      <c r="K133" s="46" t="n"/>
    </row>
    <row r="134" ht="18" customHeight="1" s="109">
      <c r="A134" s="8" t="n"/>
      <c r="B134" s="70" t="n"/>
      <c r="C134" s="8" t="n"/>
      <c r="D134" s="8" t="n"/>
      <c r="E134" s="33" t="n"/>
      <c r="F134" s="33" t="n"/>
      <c r="G134" s="76">
        <f>IF(D134="","",MAX(0,E134-F134))</f>
        <v/>
      </c>
      <c r="H134" s="33" t="n"/>
      <c r="I134" s="33">
        <f>IF(D134="","",IFERROR(VLOOKUP(D134,'📋 Catálogo'!$B$7:$L$41,11,0),""))</f>
        <v/>
      </c>
      <c r="J134" s="33">
        <f>IF(D134="","",IFERROR(VLOOKUP(D134,'📋 Catálogo'!$B$7:$L$41,10,0),""))</f>
        <v/>
      </c>
      <c r="K134" s="33" t="n"/>
    </row>
    <row r="135" ht="18" customHeight="1" s="109">
      <c r="A135" s="12" t="n"/>
      <c r="B135" s="72" t="n"/>
      <c r="C135" s="12" t="n"/>
      <c r="D135" s="12" t="n"/>
      <c r="E135" s="46" t="n"/>
      <c r="F135" s="46" t="n"/>
      <c r="G135" s="76">
        <f>IF(D135="","",MAX(0,E135-F135))</f>
        <v/>
      </c>
      <c r="H135" s="46" t="n"/>
      <c r="I135" s="46">
        <f>IF(D135="","",IFERROR(VLOOKUP(D135,'📋 Catálogo'!$B$7:$L$41,11,0),""))</f>
        <v/>
      </c>
      <c r="J135" s="46">
        <f>IF(D135="","",IFERROR(VLOOKUP(D135,'📋 Catálogo'!$B$7:$L$41,10,0),""))</f>
        <v/>
      </c>
      <c r="K135" s="46" t="n"/>
    </row>
    <row r="136" ht="18" customHeight="1" s="109">
      <c r="A136" s="8" t="n"/>
      <c r="B136" s="70" t="n"/>
      <c r="C136" s="8" t="n"/>
      <c r="D136" s="8" t="n"/>
      <c r="E136" s="33" t="n"/>
      <c r="F136" s="33" t="n"/>
      <c r="G136" s="76">
        <f>IF(D136="","",MAX(0,E136-F136))</f>
        <v/>
      </c>
      <c r="H136" s="33" t="n"/>
      <c r="I136" s="33">
        <f>IF(D136="","",IFERROR(VLOOKUP(D136,'📋 Catálogo'!$B$7:$L$41,11,0),""))</f>
        <v/>
      </c>
      <c r="J136" s="33">
        <f>IF(D136="","",IFERROR(VLOOKUP(D136,'📋 Catálogo'!$B$7:$L$41,10,0),""))</f>
        <v/>
      </c>
      <c r="K136" s="33" t="n"/>
    </row>
    <row r="137" ht="18" customHeight="1" s="109">
      <c r="A137" s="12" t="n"/>
      <c r="B137" s="72" t="n"/>
      <c r="C137" s="12" t="n"/>
      <c r="D137" s="12" t="n"/>
      <c r="E137" s="46" t="n"/>
      <c r="F137" s="46" t="n"/>
      <c r="G137" s="76">
        <f>IF(D137="","",MAX(0,E137-F137))</f>
        <v/>
      </c>
      <c r="H137" s="46" t="n"/>
      <c r="I137" s="46">
        <f>IF(D137="","",IFERROR(VLOOKUP(D137,'📋 Catálogo'!$B$7:$L$41,11,0),""))</f>
        <v/>
      </c>
      <c r="J137" s="46">
        <f>IF(D137="","",IFERROR(VLOOKUP(D137,'📋 Catálogo'!$B$7:$L$41,10,0),""))</f>
        <v/>
      </c>
      <c r="K137" s="46" t="n"/>
    </row>
    <row r="138" ht="18" customHeight="1" s="109">
      <c r="A138" s="8" t="n"/>
      <c r="B138" s="70" t="n"/>
      <c r="C138" s="8" t="n"/>
      <c r="D138" s="8" t="n"/>
      <c r="E138" s="33" t="n"/>
      <c r="F138" s="33" t="n"/>
      <c r="G138" s="76">
        <f>IF(D138="","",MAX(0,E138-F138))</f>
        <v/>
      </c>
      <c r="H138" s="33" t="n"/>
      <c r="I138" s="33">
        <f>IF(D138="","",IFERROR(VLOOKUP(D138,'📋 Catálogo'!$B$7:$L$41,11,0),""))</f>
        <v/>
      </c>
      <c r="J138" s="33">
        <f>IF(D138="","",IFERROR(VLOOKUP(D138,'📋 Catálogo'!$B$7:$L$41,10,0),""))</f>
        <v/>
      </c>
      <c r="K138" s="33" t="n"/>
    </row>
    <row r="139" ht="18" customHeight="1" s="109">
      <c r="A139" s="12" t="n"/>
      <c r="B139" s="72" t="n"/>
      <c r="C139" s="12" t="n"/>
      <c r="D139" s="12" t="n"/>
      <c r="E139" s="46" t="n"/>
      <c r="F139" s="46" t="n"/>
      <c r="G139" s="76">
        <f>IF(D139="","",MAX(0,E139-F139))</f>
        <v/>
      </c>
      <c r="H139" s="46" t="n"/>
      <c r="I139" s="46">
        <f>IF(D139="","",IFERROR(VLOOKUP(D139,'📋 Catálogo'!$B$7:$L$41,11,0),""))</f>
        <v/>
      </c>
      <c r="J139" s="46">
        <f>IF(D139="","",IFERROR(VLOOKUP(D139,'📋 Catálogo'!$B$7:$L$41,10,0),""))</f>
        <v/>
      </c>
      <c r="K139" s="46" t="n"/>
    </row>
    <row r="140" ht="18" customHeight="1" s="109">
      <c r="A140" s="8" t="n"/>
      <c r="B140" s="70" t="n"/>
      <c r="C140" s="8" t="n"/>
      <c r="D140" s="8" t="n"/>
      <c r="E140" s="33" t="n"/>
      <c r="F140" s="33" t="n"/>
      <c r="G140" s="76">
        <f>IF(D140="","",MAX(0,E140-F140))</f>
        <v/>
      </c>
      <c r="H140" s="33" t="n"/>
      <c r="I140" s="33">
        <f>IF(D140="","",IFERROR(VLOOKUP(D140,'📋 Catálogo'!$B$7:$L$41,11,0),""))</f>
        <v/>
      </c>
      <c r="J140" s="33">
        <f>IF(D140="","",IFERROR(VLOOKUP(D140,'📋 Catálogo'!$B$7:$L$41,10,0),""))</f>
        <v/>
      </c>
      <c r="K140" s="33" t="n"/>
    </row>
    <row r="141" ht="18" customHeight="1" s="109">
      <c r="A141" s="12" t="n"/>
      <c r="B141" s="72" t="n"/>
      <c r="C141" s="12" t="n"/>
      <c r="D141" s="12" t="n"/>
      <c r="E141" s="46" t="n"/>
      <c r="F141" s="46" t="n"/>
      <c r="G141" s="76">
        <f>IF(D141="","",MAX(0,E141-F141))</f>
        <v/>
      </c>
      <c r="H141" s="46" t="n"/>
      <c r="I141" s="46">
        <f>IF(D141="","",IFERROR(VLOOKUP(D141,'📋 Catálogo'!$B$7:$L$41,11,0),""))</f>
        <v/>
      </c>
      <c r="J141" s="46">
        <f>IF(D141="","",IFERROR(VLOOKUP(D141,'📋 Catálogo'!$B$7:$L$41,10,0),""))</f>
        <v/>
      </c>
      <c r="K141" s="46" t="n"/>
    </row>
    <row r="142" ht="18" customHeight="1" s="109">
      <c r="A142" s="8" t="n"/>
      <c r="B142" s="70" t="n"/>
      <c r="C142" s="8" t="n"/>
      <c r="D142" s="8" t="n"/>
      <c r="E142" s="33" t="n"/>
      <c r="F142" s="33" t="n"/>
      <c r="G142" s="76">
        <f>IF(D142="","",MAX(0,E142-F142))</f>
        <v/>
      </c>
      <c r="H142" s="33" t="n"/>
      <c r="I142" s="33">
        <f>IF(D142="","",IFERROR(VLOOKUP(D142,'📋 Catálogo'!$B$7:$L$41,11,0),""))</f>
        <v/>
      </c>
      <c r="J142" s="33">
        <f>IF(D142="","",IFERROR(VLOOKUP(D142,'📋 Catálogo'!$B$7:$L$41,10,0),""))</f>
        <v/>
      </c>
      <c r="K142" s="33" t="n"/>
    </row>
    <row r="143" ht="18" customHeight="1" s="109">
      <c r="A143" s="12" t="n"/>
      <c r="B143" s="72" t="n"/>
      <c r="C143" s="12" t="n"/>
      <c r="D143" s="12" t="n"/>
      <c r="E143" s="46" t="n"/>
      <c r="F143" s="46" t="n"/>
      <c r="G143" s="76">
        <f>IF(D143="","",MAX(0,E143-F143))</f>
        <v/>
      </c>
      <c r="H143" s="46" t="n"/>
      <c r="I143" s="46">
        <f>IF(D143="","",IFERROR(VLOOKUP(D143,'📋 Catálogo'!$B$7:$L$41,11,0),""))</f>
        <v/>
      </c>
      <c r="J143" s="46">
        <f>IF(D143="","",IFERROR(VLOOKUP(D143,'📋 Catálogo'!$B$7:$L$41,10,0),""))</f>
        <v/>
      </c>
      <c r="K143" s="46" t="n"/>
    </row>
    <row r="144" ht="18" customHeight="1" s="109">
      <c r="A144" s="8" t="n"/>
      <c r="B144" s="70" t="n"/>
      <c r="C144" s="8" t="n"/>
      <c r="D144" s="8" t="n"/>
      <c r="E144" s="33" t="n"/>
      <c r="F144" s="33" t="n"/>
      <c r="G144" s="76">
        <f>IF(D144="","",MAX(0,E144-F144))</f>
        <v/>
      </c>
      <c r="H144" s="33" t="n"/>
      <c r="I144" s="33">
        <f>IF(D144="","",IFERROR(VLOOKUP(D144,'📋 Catálogo'!$B$7:$L$41,11,0),""))</f>
        <v/>
      </c>
      <c r="J144" s="33">
        <f>IF(D144="","",IFERROR(VLOOKUP(D144,'📋 Catálogo'!$B$7:$L$41,10,0),""))</f>
        <v/>
      </c>
      <c r="K144" s="33" t="n"/>
    </row>
    <row r="145" ht="18" customHeight="1" s="109">
      <c r="A145" s="12" t="n"/>
      <c r="B145" s="72" t="n"/>
      <c r="C145" s="12" t="n"/>
      <c r="D145" s="12" t="n"/>
      <c r="E145" s="46" t="n"/>
      <c r="F145" s="46" t="n"/>
      <c r="G145" s="76">
        <f>IF(D145="","",MAX(0,E145-F145))</f>
        <v/>
      </c>
      <c r="H145" s="46" t="n"/>
      <c r="I145" s="46">
        <f>IF(D145="","",IFERROR(VLOOKUP(D145,'📋 Catálogo'!$B$7:$L$41,11,0),""))</f>
        <v/>
      </c>
      <c r="J145" s="46">
        <f>IF(D145="","",IFERROR(VLOOKUP(D145,'📋 Catálogo'!$B$7:$L$41,10,0),""))</f>
        <v/>
      </c>
      <c r="K145" s="46" t="n"/>
    </row>
    <row r="146" ht="18" customHeight="1" s="109">
      <c r="A146" s="8" t="n"/>
      <c r="B146" s="70" t="n"/>
      <c r="C146" s="8" t="n"/>
      <c r="D146" s="8" t="n"/>
      <c r="E146" s="33" t="n"/>
      <c r="F146" s="33" t="n"/>
      <c r="G146" s="76">
        <f>IF(D146="","",MAX(0,E146-F146))</f>
        <v/>
      </c>
      <c r="H146" s="33" t="n"/>
      <c r="I146" s="33">
        <f>IF(D146="","",IFERROR(VLOOKUP(D146,'📋 Catálogo'!$B$7:$L$41,11,0),""))</f>
        <v/>
      </c>
      <c r="J146" s="33">
        <f>IF(D146="","",IFERROR(VLOOKUP(D146,'📋 Catálogo'!$B$7:$L$41,10,0),""))</f>
        <v/>
      </c>
      <c r="K146" s="33" t="n"/>
    </row>
    <row r="147" ht="18" customHeight="1" s="109">
      <c r="A147" s="12" t="n"/>
      <c r="B147" s="72" t="n"/>
      <c r="C147" s="12" t="n"/>
      <c r="D147" s="12" t="n"/>
      <c r="E147" s="46" t="n"/>
      <c r="F147" s="46" t="n"/>
      <c r="G147" s="76">
        <f>IF(D147="","",MAX(0,E147-F147))</f>
        <v/>
      </c>
      <c r="H147" s="46" t="n"/>
      <c r="I147" s="46">
        <f>IF(D147="","",IFERROR(VLOOKUP(D147,'📋 Catálogo'!$B$7:$L$41,11,0),""))</f>
        <v/>
      </c>
      <c r="J147" s="46">
        <f>IF(D147="","",IFERROR(VLOOKUP(D147,'📋 Catálogo'!$B$7:$L$41,10,0),""))</f>
        <v/>
      </c>
      <c r="K147" s="46" t="n"/>
    </row>
    <row r="148" ht="18" customHeight="1" s="109">
      <c r="A148" s="8" t="n"/>
      <c r="B148" s="70" t="n"/>
      <c r="C148" s="8" t="n"/>
      <c r="D148" s="8" t="n"/>
      <c r="E148" s="33" t="n"/>
      <c r="F148" s="33" t="n"/>
      <c r="G148" s="76">
        <f>IF(D148="","",MAX(0,E148-F148))</f>
        <v/>
      </c>
      <c r="H148" s="33" t="n"/>
      <c r="I148" s="33">
        <f>IF(D148="","",IFERROR(VLOOKUP(D148,'📋 Catálogo'!$B$7:$L$41,11,0),""))</f>
        <v/>
      </c>
      <c r="J148" s="33">
        <f>IF(D148="","",IFERROR(VLOOKUP(D148,'📋 Catálogo'!$B$7:$L$41,10,0),""))</f>
        <v/>
      </c>
      <c r="K148" s="33" t="n"/>
    </row>
    <row r="149" ht="18" customHeight="1" s="109">
      <c r="A149" s="12" t="n"/>
      <c r="B149" s="72" t="n"/>
      <c r="C149" s="12" t="n"/>
      <c r="D149" s="12" t="n"/>
      <c r="E149" s="46" t="n"/>
      <c r="F149" s="46" t="n"/>
      <c r="G149" s="76">
        <f>IF(D149="","",MAX(0,E149-F149))</f>
        <v/>
      </c>
      <c r="H149" s="46" t="n"/>
      <c r="I149" s="46">
        <f>IF(D149="","",IFERROR(VLOOKUP(D149,'📋 Catálogo'!$B$7:$L$41,11,0),""))</f>
        <v/>
      </c>
      <c r="J149" s="46">
        <f>IF(D149="","",IFERROR(VLOOKUP(D149,'📋 Catálogo'!$B$7:$L$41,10,0),""))</f>
        <v/>
      </c>
      <c r="K149" s="46" t="n"/>
    </row>
    <row r="150" ht="18" customHeight="1" s="109">
      <c r="A150" s="8" t="n"/>
      <c r="B150" s="70" t="n"/>
      <c r="C150" s="8" t="n"/>
      <c r="D150" s="8" t="n"/>
      <c r="E150" s="33" t="n"/>
      <c r="F150" s="33" t="n"/>
      <c r="G150" s="76">
        <f>IF(D150="","",MAX(0,E150-F150))</f>
        <v/>
      </c>
      <c r="H150" s="33" t="n"/>
      <c r="I150" s="33">
        <f>IF(D150="","",IFERROR(VLOOKUP(D150,'📋 Catálogo'!$B$7:$L$41,11,0),""))</f>
        <v/>
      </c>
      <c r="J150" s="33">
        <f>IF(D150="","",IFERROR(VLOOKUP(D150,'📋 Catálogo'!$B$7:$L$41,10,0),""))</f>
        <v/>
      </c>
      <c r="K150" s="33" t="n"/>
    </row>
    <row r="151" ht="18" customHeight="1" s="109">
      <c r="A151" s="12" t="n"/>
      <c r="B151" s="72" t="n"/>
      <c r="C151" s="12" t="n"/>
      <c r="D151" s="12" t="n"/>
      <c r="E151" s="46" t="n"/>
      <c r="F151" s="46" t="n"/>
      <c r="G151" s="76">
        <f>IF(D151="","",MAX(0,E151-F151))</f>
        <v/>
      </c>
      <c r="H151" s="46" t="n"/>
      <c r="I151" s="46">
        <f>IF(D151="","",IFERROR(VLOOKUP(D151,'📋 Catálogo'!$B$7:$L$41,11,0),""))</f>
        <v/>
      </c>
      <c r="J151" s="46">
        <f>IF(D151="","",IFERROR(VLOOKUP(D151,'📋 Catálogo'!$B$7:$L$41,10,0),""))</f>
        <v/>
      </c>
      <c r="K151" s="46" t="n"/>
    </row>
    <row r="152" ht="18" customHeight="1" s="109">
      <c r="A152" s="8" t="n"/>
      <c r="B152" s="70" t="n"/>
      <c r="C152" s="8" t="n"/>
      <c r="D152" s="8" t="n"/>
      <c r="E152" s="33" t="n"/>
      <c r="F152" s="33" t="n"/>
      <c r="G152" s="76">
        <f>IF(D152="","",MAX(0,E152-F152))</f>
        <v/>
      </c>
      <c r="H152" s="33" t="n"/>
      <c r="I152" s="33">
        <f>IF(D152="","",IFERROR(VLOOKUP(D152,'📋 Catálogo'!$B$7:$L$41,11,0),""))</f>
        <v/>
      </c>
      <c r="J152" s="33">
        <f>IF(D152="","",IFERROR(VLOOKUP(D152,'📋 Catálogo'!$B$7:$L$41,10,0),""))</f>
        <v/>
      </c>
      <c r="K152" s="33" t="n"/>
    </row>
    <row r="153" ht="18" customHeight="1" s="109">
      <c r="A153" s="12" t="n"/>
      <c r="B153" s="72" t="n"/>
      <c r="C153" s="12" t="n"/>
      <c r="D153" s="12" t="n"/>
      <c r="E153" s="46" t="n"/>
      <c r="F153" s="46" t="n"/>
      <c r="G153" s="76">
        <f>IF(D153="","",MAX(0,E153-F153))</f>
        <v/>
      </c>
      <c r="H153" s="46" t="n"/>
      <c r="I153" s="46">
        <f>IF(D153="","",IFERROR(VLOOKUP(D153,'📋 Catálogo'!$B$7:$L$41,11,0),""))</f>
        <v/>
      </c>
      <c r="J153" s="46">
        <f>IF(D153="","",IFERROR(VLOOKUP(D153,'📋 Catálogo'!$B$7:$L$41,10,0),""))</f>
        <v/>
      </c>
      <c r="K153" s="46" t="n"/>
    </row>
    <row r="154" ht="18" customHeight="1" s="109">
      <c r="A154" s="8" t="n"/>
      <c r="B154" s="70" t="n"/>
      <c r="C154" s="8" t="n"/>
      <c r="D154" s="8" t="n"/>
      <c r="E154" s="33" t="n"/>
      <c r="F154" s="33" t="n"/>
      <c r="G154" s="76">
        <f>IF(D154="","",MAX(0,E154-F154))</f>
        <v/>
      </c>
      <c r="H154" s="33" t="n"/>
      <c r="I154" s="33">
        <f>IF(D154="","",IFERROR(VLOOKUP(D154,'📋 Catálogo'!$B$7:$L$41,11,0),""))</f>
        <v/>
      </c>
      <c r="J154" s="33">
        <f>IF(D154="","",IFERROR(VLOOKUP(D154,'📋 Catálogo'!$B$7:$L$41,10,0),""))</f>
        <v/>
      </c>
      <c r="K154" s="33" t="n"/>
    </row>
    <row r="155" ht="18" customHeight="1" s="109">
      <c r="A155" s="12" t="n"/>
      <c r="B155" s="72" t="n"/>
      <c r="C155" s="12" t="n"/>
      <c r="D155" s="12" t="n"/>
      <c r="E155" s="46" t="n"/>
      <c r="F155" s="46" t="n"/>
      <c r="G155" s="76">
        <f>IF(D155="","",MAX(0,E155-F155))</f>
        <v/>
      </c>
      <c r="H155" s="46" t="n"/>
      <c r="I155" s="46">
        <f>IF(D155="","",IFERROR(VLOOKUP(D155,'📋 Catálogo'!$B$7:$L$41,11,0),""))</f>
        <v/>
      </c>
      <c r="J155" s="46">
        <f>IF(D155="","",IFERROR(VLOOKUP(D155,'📋 Catálogo'!$B$7:$L$41,10,0),""))</f>
        <v/>
      </c>
      <c r="K155" s="46" t="n"/>
    </row>
    <row r="156" ht="18" customHeight="1" s="109">
      <c r="A156" s="8" t="n"/>
      <c r="B156" s="70" t="n"/>
      <c r="C156" s="8" t="n"/>
      <c r="D156" s="8" t="n"/>
      <c r="E156" s="33" t="n"/>
      <c r="F156" s="33" t="n"/>
      <c r="G156" s="76">
        <f>IF(D156="","",MAX(0,E156-F156))</f>
        <v/>
      </c>
      <c r="H156" s="33" t="n"/>
      <c r="I156" s="33">
        <f>IF(D156="","",IFERROR(VLOOKUP(D156,'📋 Catálogo'!$B$7:$L$41,11,0),""))</f>
        <v/>
      </c>
      <c r="J156" s="33">
        <f>IF(D156="","",IFERROR(VLOOKUP(D156,'📋 Catálogo'!$B$7:$L$41,10,0),""))</f>
        <v/>
      </c>
      <c r="K156" s="33" t="n"/>
    </row>
    <row r="157" ht="18" customHeight="1" s="109">
      <c r="A157" s="12" t="n"/>
      <c r="B157" s="72" t="n"/>
      <c r="C157" s="12" t="n"/>
      <c r="D157" s="12" t="n"/>
      <c r="E157" s="46" t="n"/>
      <c r="F157" s="46" t="n"/>
      <c r="G157" s="76">
        <f>IF(D157="","",MAX(0,E157-F157))</f>
        <v/>
      </c>
      <c r="H157" s="46" t="n"/>
      <c r="I157" s="46">
        <f>IF(D157="","",IFERROR(VLOOKUP(D157,'📋 Catálogo'!$B$7:$L$41,11,0),""))</f>
        <v/>
      </c>
      <c r="J157" s="46">
        <f>IF(D157="","",IFERROR(VLOOKUP(D157,'📋 Catálogo'!$B$7:$L$41,10,0),""))</f>
        <v/>
      </c>
      <c r="K157" s="46" t="n"/>
    </row>
    <row r="158" ht="18" customHeight="1" s="109">
      <c r="A158" s="8" t="n"/>
      <c r="B158" s="70" t="n"/>
      <c r="C158" s="8" t="n"/>
      <c r="D158" s="8" t="n"/>
      <c r="E158" s="33" t="n"/>
      <c r="F158" s="33" t="n"/>
      <c r="G158" s="76">
        <f>IF(D158="","",MAX(0,E158-F158))</f>
        <v/>
      </c>
      <c r="H158" s="33" t="n"/>
      <c r="I158" s="33">
        <f>IF(D158="","",IFERROR(VLOOKUP(D158,'📋 Catálogo'!$B$7:$L$41,11,0),""))</f>
        <v/>
      </c>
      <c r="J158" s="33">
        <f>IF(D158="","",IFERROR(VLOOKUP(D158,'📋 Catálogo'!$B$7:$L$41,10,0),""))</f>
        <v/>
      </c>
      <c r="K158" s="33" t="n"/>
    </row>
    <row r="159" ht="18" customHeight="1" s="109">
      <c r="A159" s="12" t="n"/>
      <c r="B159" s="72" t="n"/>
      <c r="C159" s="12" t="n"/>
      <c r="D159" s="12" t="n"/>
      <c r="E159" s="46" t="n"/>
      <c r="F159" s="46" t="n"/>
      <c r="G159" s="76">
        <f>IF(D159="","",MAX(0,E159-F159))</f>
        <v/>
      </c>
      <c r="H159" s="46" t="n"/>
      <c r="I159" s="46">
        <f>IF(D159="","",IFERROR(VLOOKUP(D159,'📋 Catálogo'!$B$7:$L$41,11,0),""))</f>
        <v/>
      </c>
      <c r="J159" s="46">
        <f>IF(D159="","",IFERROR(VLOOKUP(D159,'📋 Catálogo'!$B$7:$L$41,10,0),""))</f>
        <v/>
      </c>
      <c r="K159" s="46" t="n"/>
    </row>
    <row r="160" ht="18" customHeight="1" s="109">
      <c r="A160" s="8" t="n"/>
      <c r="B160" s="70" t="n"/>
      <c r="C160" s="8" t="n"/>
      <c r="D160" s="8" t="n"/>
      <c r="E160" s="33" t="n"/>
      <c r="F160" s="33" t="n"/>
      <c r="G160" s="76">
        <f>IF(D160="","",MAX(0,E160-F160))</f>
        <v/>
      </c>
      <c r="H160" s="33" t="n"/>
      <c r="I160" s="33">
        <f>IF(D160="","",IFERROR(VLOOKUP(D160,'📋 Catálogo'!$B$7:$L$41,11,0),""))</f>
        <v/>
      </c>
      <c r="J160" s="33">
        <f>IF(D160="","",IFERROR(VLOOKUP(D160,'📋 Catálogo'!$B$7:$L$41,10,0),""))</f>
        <v/>
      </c>
      <c r="K160" s="33" t="n"/>
    </row>
    <row r="161" ht="18" customHeight="1" s="109">
      <c r="A161" s="12" t="n"/>
      <c r="B161" s="72" t="n"/>
      <c r="C161" s="12" t="n"/>
      <c r="D161" s="12" t="n"/>
      <c r="E161" s="46" t="n"/>
      <c r="F161" s="46" t="n"/>
      <c r="G161" s="76">
        <f>IF(D161="","",MAX(0,E161-F161))</f>
        <v/>
      </c>
      <c r="H161" s="46" t="n"/>
      <c r="I161" s="46">
        <f>IF(D161="","",IFERROR(VLOOKUP(D161,'📋 Catálogo'!$B$7:$L$41,11,0),""))</f>
        <v/>
      </c>
      <c r="J161" s="46">
        <f>IF(D161="","",IFERROR(VLOOKUP(D161,'📋 Catálogo'!$B$7:$L$41,10,0),""))</f>
        <v/>
      </c>
      <c r="K161" s="46" t="n"/>
    </row>
    <row r="162" ht="18" customHeight="1" s="109">
      <c r="A162" s="8" t="n"/>
      <c r="B162" s="70" t="n"/>
      <c r="C162" s="8" t="n"/>
      <c r="D162" s="8" t="n"/>
      <c r="E162" s="33" t="n"/>
      <c r="F162" s="33" t="n"/>
      <c r="G162" s="76">
        <f>IF(D162="","",MAX(0,E162-F162))</f>
        <v/>
      </c>
      <c r="H162" s="33" t="n"/>
      <c r="I162" s="33">
        <f>IF(D162="","",IFERROR(VLOOKUP(D162,'📋 Catálogo'!$B$7:$L$41,11,0),""))</f>
        <v/>
      </c>
      <c r="J162" s="33">
        <f>IF(D162="","",IFERROR(VLOOKUP(D162,'📋 Catálogo'!$B$7:$L$41,10,0),""))</f>
        <v/>
      </c>
      <c r="K162" s="33" t="n"/>
    </row>
    <row r="163" ht="18" customHeight="1" s="109">
      <c r="A163" s="12" t="n"/>
      <c r="B163" s="72" t="n"/>
      <c r="C163" s="12" t="n"/>
      <c r="D163" s="12" t="n"/>
      <c r="E163" s="46" t="n"/>
      <c r="F163" s="46" t="n"/>
      <c r="G163" s="76">
        <f>IF(D163="","",MAX(0,E163-F163))</f>
        <v/>
      </c>
      <c r="H163" s="46" t="n"/>
      <c r="I163" s="46">
        <f>IF(D163="","",IFERROR(VLOOKUP(D163,'📋 Catálogo'!$B$7:$L$41,11,0),""))</f>
        <v/>
      </c>
      <c r="J163" s="46">
        <f>IF(D163="","",IFERROR(VLOOKUP(D163,'📋 Catálogo'!$B$7:$L$41,10,0),""))</f>
        <v/>
      </c>
      <c r="K163" s="46" t="n"/>
    </row>
    <row r="164" ht="18" customHeight="1" s="109">
      <c r="A164" s="8" t="n"/>
      <c r="B164" s="70" t="n"/>
      <c r="C164" s="8" t="n"/>
      <c r="D164" s="8" t="n"/>
      <c r="E164" s="33" t="n"/>
      <c r="F164" s="33" t="n"/>
      <c r="G164" s="76">
        <f>IF(D164="","",MAX(0,E164-F164))</f>
        <v/>
      </c>
      <c r="H164" s="33" t="n"/>
      <c r="I164" s="33">
        <f>IF(D164="","",IFERROR(VLOOKUP(D164,'📋 Catálogo'!$B$7:$L$41,11,0),""))</f>
        <v/>
      </c>
      <c r="J164" s="33">
        <f>IF(D164="","",IFERROR(VLOOKUP(D164,'📋 Catálogo'!$B$7:$L$41,10,0),""))</f>
        <v/>
      </c>
      <c r="K164" s="33" t="n"/>
    </row>
    <row r="165" ht="18" customHeight="1" s="109">
      <c r="A165" s="12" t="n"/>
      <c r="B165" s="72" t="n"/>
      <c r="C165" s="12" t="n"/>
      <c r="D165" s="12" t="n"/>
      <c r="E165" s="46" t="n"/>
      <c r="F165" s="46" t="n"/>
      <c r="G165" s="76">
        <f>IF(D165="","",MAX(0,E165-F165))</f>
        <v/>
      </c>
      <c r="H165" s="46" t="n"/>
      <c r="I165" s="46">
        <f>IF(D165="","",IFERROR(VLOOKUP(D165,'📋 Catálogo'!$B$7:$L$41,11,0),""))</f>
        <v/>
      </c>
      <c r="J165" s="46">
        <f>IF(D165="","",IFERROR(VLOOKUP(D165,'📋 Catálogo'!$B$7:$L$41,10,0),""))</f>
        <v/>
      </c>
      <c r="K165" s="46" t="n"/>
    </row>
    <row r="166" ht="18" customHeight="1" s="109">
      <c r="A166" s="8" t="n"/>
      <c r="B166" s="70" t="n"/>
      <c r="C166" s="8" t="n"/>
      <c r="D166" s="8" t="n"/>
      <c r="E166" s="33" t="n"/>
      <c r="F166" s="33" t="n"/>
      <c r="G166" s="76">
        <f>IF(D166="","",MAX(0,E166-F166))</f>
        <v/>
      </c>
      <c r="H166" s="33" t="n"/>
      <c r="I166" s="33">
        <f>IF(D166="","",IFERROR(VLOOKUP(D166,'📋 Catálogo'!$B$7:$L$41,11,0),""))</f>
        <v/>
      </c>
      <c r="J166" s="33">
        <f>IF(D166="","",IFERROR(VLOOKUP(D166,'📋 Catálogo'!$B$7:$L$41,10,0),""))</f>
        <v/>
      </c>
      <c r="K166" s="33" t="n"/>
    </row>
    <row r="167" ht="18" customHeight="1" s="109">
      <c r="A167" s="12" t="n"/>
      <c r="B167" s="72" t="n"/>
      <c r="C167" s="12" t="n"/>
      <c r="D167" s="12" t="n"/>
      <c r="E167" s="46" t="n"/>
      <c r="F167" s="46" t="n"/>
      <c r="G167" s="76">
        <f>IF(D167="","",MAX(0,E167-F167))</f>
        <v/>
      </c>
      <c r="H167" s="46" t="n"/>
      <c r="I167" s="46">
        <f>IF(D167="","",IFERROR(VLOOKUP(D167,'📋 Catálogo'!$B$7:$L$41,11,0),""))</f>
        <v/>
      </c>
      <c r="J167" s="46">
        <f>IF(D167="","",IFERROR(VLOOKUP(D167,'📋 Catálogo'!$B$7:$L$41,10,0),""))</f>
        <v/>
      </c>
      <c r="K167" s="46" t="n"/>
    </row>
    <row r="168" ht="18" customHeight="1" s="109">
      <c r="A168" s="8" t="n"/>
      <c r="B168" s="70" t="n"/>
      <c r="C168" s="8" t="n"/>
      <c r="D168" s="8" t="n"/>
      <c r="E168" s="33" t="n"/>
      <c r="F168" s="33" t="n"/>
      <c r="G168" s="76">
        <f>IF(D168="","",MAX(0,E168-F168))</f>
        <v/>
      </c>
      <c r="H168" s="33" t="n"/>
      <c r="I168" s="33">
        <f>IF(D168="","",IFERROR(VLOOKUP(D168,'📋 Catálogo'!$B$7:$L$41,11,0),""))</f>
        <v/>
      </c>
      <c r="J168" s="33">
        <f>IF(D168="","",IFERROR(VLOOKUP(D168,'📋 Catálogo'!$B$7:$L$41,10,0),""))</f>
        <v/>
      </c>
      <c r="K168" s="33" t="n"/>
    </row>
    <row r="169" ht="18" customHeight="1" s="109">
      <c r="A169" s="12" t="n"/>
      <c r="B169" s="72" t="n"/>
      <c r="C169" s="12" t="n"/>
      <c r="D169" s="12" t="n"/>
      <c r="E169" s="46" t="n"/>
      <c r="F169" s="46" t="n"/>
      <c r="G169" s="76">
        <f>IF(D169="","",MAX(0,E169-F169))</f>
        <v/>
      </c>
      <c r="H169" s="46" t="n"/>
      <c r="I169" s="46">
        <f>IF(D169="","",IFERROR(VLOOKUP(D169,'📋 Catálogo'!$B$7:$L$41,11,0),""))</f>
        <v/>
      </c>
      <c r="J169" s="46">
        <f>IF(D169="","",IFERROR(VLOOKUP(D169,'📋 Catálogo'!$B$7:$L$41,10,0),""))</f>
        <v/>
      </c>
      <c r="K169" s="46" t="n"/>
    </row>
    <row r="170" ht="18" customHeight="1" s="109">
      <c r="A170" s="8" t="n"/>
      <c r="B170" s="70" t="n"/>
      <c r="C170" s="8" t="n"/>
      <c r="D170" s="8" t="n"/>
      <c r="E170" s="33" t="n"/>
      <c r="F170" s="33" t="n"/>
      <c r="G170" s="76">
        <f>IF(D170="","",MAX(0,E170-F170))</f>
        <v/>
      </c>
      <c r="H170" s="33" t="n"/>
      <c r="I170" s="33">
        <f>IF(D170="","",IFERROR(VLOOKUP(D170,'📋 Catálogo'!$B$7:$L$41,11,0),""))</f>
        <v/>
      </c>
      <c r="J170" s="33">
        <f>IF(D170="","",IFERROR(VLOOKUP(D170,'📋 Catálogo'!$B$7:$L$41,10,0),""))</f>
        <v/>
      </c>
      <c r="K170" s="33" t="n"/>
    </row>
    <row r="171" ht="18" customHeight="1" s="109">
      <c r="A171" s="12" t="n"/>
      <c r="B171" s="72" t="n"/>
      <c r="C171" s="12" t="n"/>
      <c r="D171" s="12" t="n"/>
      <c r="E171" s="46" t="n"/>
      <c r="F171" s="46" t="n"/>
      <c r="G171" s="76">
        <f>IF(D171="","",MAX(0,E171-F171))</f>
        <v/>
      </c>
      <c r="H171" s="46" t="n"/>
      <c r="I171" s="46">
        <f>IF(D171="","",IFERROR(VLOOKUP(D171,'📋 Catálogo'!$B$7:$L$41,11,0),""))</f>
        <v/>
      </c>
      <c r="J171" s="46">
        <f>IF(D171="","",IFERROR(VLOOKUP(D171,'📋 Catálogo'!$B$7:$L$41,10,0),""))</f>
        <v/>
      </c>
      <c r="K171" s="46" t="n"/>
    </row>
    <row r="172" ht="18" customHeight="1" s="109">
      <c r="A172" s="8" t="n"/>
      <c r="B172" s="70" t="n"/>
      <c r="C172" s="8" t="n"/>
      <c r="D172" s="8" t="n"/>
      <c r="E172" s="33" t="n"/>
      <c r="F172" s="33" t="n"/>
      <c r="G172" s="76">
        <f>IF(D172="","",MAX(0,E172-F172))</f>
        <v/>
      </c>
      <c r="H172" s="33" t="n"/>
      <c r="I172" s="33">
        <f>IF(D172="","",IFERROR(VLOOKUP(D172,'📋 Catálogo'!$B$7:$L$41,11,0),""))</f>
        <v/>
      </c>
      <c r="J172" s="33">
        <f>IF(D172="","",IFERROR(VLOOKUP(D172,'📋 Catálogo'!$B$7:$L$41,10,0),""))</f>
        <v/>
      </c>
      <c r="K172" s="33" t="n"/>
    </row>
    <row r="173" ht="18" customHeight="1" s="109">
      <c r="A173" s="12" t="n"/>
      <c r="B173" s="72" t="n"/>
      <c r="C173" s="12" t="n"/>
      <c r="D173" s="12" t="n"/>
      <c r="E173" s="46" t="n"/>
      <c r="F173" s="46" t="n"/>
      <c r="G173" s="76">
        <f>IF(D173="","",MAX(0,E173-F173))</f>
        <v/>
      </c>
      <c r="H173" s="46" t="n"/>
      <c r="I173" s="46">
        <f>IF(D173="","",IFERROR(VLOOKUP(D173,'📋 Catálogo'!$B$7:$L$41,11,0),""))</f>
        <v/>
      </c>
      <c r="J173" s="46">
        <f>IF(D173="","",IFERROR(VLOOKUP(D173,'📋 Catálogo'!$B$7:$L$41,10,0),""))</f>
        <v/>
      </c>
      <c r="K173" s="46" t="n"/>
    </row>
    <row r="174" ht="18" customHeight="1" s="109">
      <c r="A174" s="8" t="n"/>
      <c r="B174" s="70" t="n"/>
      <c r="C174" s="8" t="n"/>
      <c r="D174" s="8" t="n"/>
      <c r="E174" s="33" t="n"/>
      <c r="F174" s="33" t="n"/>
      <c r="G174" s="76">
        <f>IF(D174="","",MAX(0,E174-F174))</f>
        <v/>
      </c>
      <c r="H174" s="33" t="n"/>
      <c r="I174" s="33">
        <f>IF(D174="","",IFERROR(VLOOKUP(D174,'📋 Catálogo'!$B$7:$L$41,11,0),""))</f>
        <v/>
      </c>
      <c r="J174" s="33">
        <f>IF(D174="","",IFERROR(VLOOKUP(D174,'📋 Catálogo'!$B$7:$L$41,10,0),""))</f>
        <v/>
      </c>
      <c r="K174" s="33" t="n"/>
    </row>
    <row r="175" ht="18" customHeight="1" s="109">
      <c r="A175" s="12" t="n"/>
      <c r="B175" s="72" t="n"/>
      <c r="C175" s="12" t="n"/>
      <c r="D175" s="12" t="n"/>
      <c r="E175" s="46" t="n"/>
      <c r="F175" s="46" t="n"/>
      <c r="G175" s="76">
        <f>IF(D175="","",MAX(0,E175-F175))</f>
        <v/>
      </c>
      <c r="H175" s="46" t="n"/>
      <c r="I175" s="46">
        <f>IF(D175="","",IFERROR(VLOOKUP(D175,'📋 Catálogo'!$B$7:$L$41,11,0),""))</f>
        <v/>
      </c>
      <c r="J175" s="46">
        <f>IF(D175="","",IFERROR(VLOOKUP(D175,'📋 Catálogo'!$B$7:$L$41,10,0),""))</f>
        <v/>
      </c>
      <c r="K175" s="46" t="n"/>
    </row>
    <row r="176" ht="18" customHeight="1" s="109">
      <c r="A176" s="8" t="n"/>
      <c r="B176" s="70" t="n"/>
      <c r="C176" s="8" t="n"/>
      <c r="D176" s="8" t="n"/>
      <c r="E176" s="33" t="n"/>
      <c r="F176" s="33" t="n"/>
      <c r="G176" s="76">
        <f>IF(D176="","",MAX(0,E176-F176))</f>
        <v/>
      </c>
      <c r="H176" s="33" t="n"/>
      <c r="I176" s="33">
        <f>IF(D176="","",IFERROR(VLOOKUP(D176,'📋 Catálogo'!$B$7:$L$41,11,0),""))</f>
        <v/>
      </c>
      <c r="J176" s="33">
        <f>IF(D176="","",IFERROR(VLOOKUP(D176,'📋 Catálogo'!$B$7:$L$41,10,0),""))</f>
        <v/>
      </c>
      <c r="K176" s="33" t="n"/>
    </row>
    <row r="177" ht="18" customHeight="1" s="109">
      <c r="A177" s="12" t="n"/>
      <c r="B177" s="72" t="n"/>
      <c r="C177" s="12" t="n"/>
      <c r="D177" s="12" t="n"/>
      <c r="E177" s="46" t="n"/>
      <c r="F177" s="46" t="n"/>
      <c r="G177" s="76">
        <f>IF(D177="","",MAX(0,E177-F177))</f>
        <v/>
      </c>
      <c r="H177" s="46" t="n"/>
      <c r="I177" s="46">
        <f>IF(D177="","",IFERROR(VLOOKUP(D177,'📋 Catálogo'!$B$7:$L$41,11,0),""))</f>
        <v/>
      </c>
      <c r="J177" s="46">
        <f>IF(D177="","",IFERROR(VLOOKUP(D177,'📋 Catálogo'!$B$7:$L$41,10,0),""))</f>
        <v/>
      </c>
      <c r="K177" s="46" t="n"/>
    </row>
    <row r="178" ht="18" customHeight="1" s="109">
      <c r="A178" s="8" t="n"/>
      <c r="B178" s="70" t="n"/>
      <c r="C178" s="8" t="n"/>
      <c r="D178" s="8" t="n"/>
      <c r="E178" s="33" t="n"/>
      <c r="F178" s="33" t="n"/>
      <c r="G178" s="76">
        <f>IF(D178="","",MAX(0,E178-F178))</f>
        <v/>
      </c>
      <c r="H178" s="33" t="n"/>
      <c r="I178" s="33">
        <f>IF(D178="","",IFERROR(VLOOKUP(D178,'📋 Catálogo'!$B$7:$L$41,11,0),""))</f>
        <v/>
      </c>
      <c r="J178" s="33">
        <f>IF(D178="","",IFERROR(VLOOKUP(D178,'📋 Catálogo'!$B$7:$L$41,10,0),""))</f>
        <v/>
      </c>
      <c r="K178" s="33" t="n"/>
    </row>
    <row r="179" ht="18" customHeight="1" s="109">
      <c r="A179" s="12" t="n"/>
      <c r="B179" s="72" t="n"/>
      <c r="C179" s="12" t="n"/>
      <c r="D179" s="12" t="n"/>
      <c r="E179" s="46" t="n"/>
      <c r="F179" s="46" t="n"/>
      <c r="G179" s="76">
        <f>IF(D179="","",MAX(0,E179-F179))</f>
        <v/>
      </c>
      <c r="H179" s="46" t="n"/>
      <c r="I179" s="46">
        <f>IF(D179="","",IFERROR(VLOOKUP(D179,'📋 Catálogo'!$B$7:$L$41,11,0),""))</f>
        <v/>
      </c>
      <c r="J179" s="46">
        <f>IF(D179="","",IFERROR(VLOOKUP(D179,'📋 Catálogo'!$B$7:$L$41,10,0),""))</f>
        <v/>
      </c>
      <c r="K179" s="46" t="n"/>
    </row>
    <row r="180" ht="18" customHeight="1" s="109">
      <c r="A180" s="8" t="n"/>
      <c r="B180" s="70" t="n"/>
      <c r="C180" s="8" t="n"/>
      <c r="D180" s="8" t="n"/>
      <c r="E180" s="33" t="n"/>
      <c r="F180" s="33" t="n"/>
      <c r="G180" s="76">
        <f>IF(D180="","",MAX(0,E180-F180))</f>
        <v/>
      </c>
      <c r="H180" s="33" t="n"/>
      <c r="I180" s="33">
        <f>IF(D180="","",IFERROR(VLOOKUP(D180,'📋 Catálogo'!$B$7:$L$41,11,0),""))</f>
        <v/>
      </c>
      <c r="J180" s="33">
        <f>IF(D180="","",IFERROR(VLOOKUP(D180,'📋 Catálogo'!$B$7:$L$41,10,0),""))</f>
        <v/>
      </c>
      <c r="K180" s="33" t="n"/>
    </row>
    <row r="181" ht="18" customHeight="1" s="109">
      <c r="A181" s="12" t="n"/>
      <c r="B181" s="72" t="n"/>
      <c r="C181" s="12" t="n"/>
      <c r="D181" s="12" t="n"/>
      <c r="E181" s="46" t="n"/>
      <c r="F181" s="46" t="n"/>
      <c r="G181" s="76">
        <f>IF(D181="","",MAX(0,E181-F181))</f>
        <v/>
      </c>
      <c r="H181" s="46" t="n"/>
      <c r="I181" s="46">
        <f>IF(D181="","",IFERROR(VLOOKUP(D181,'📋 Catálogo'!$B$7:$L$41,11,0),""))</f>
        <v/>
      </c>
      <c r="J181" s="46">
        <f>IF(D181="","",IFERROR(VLOOKUP(D181,'📋 Catálogo'!$B$7:$L$41,10,0),""))</f>
        <v/>
      </c>
      <c r="K181" s="46" t="n"/>
    </row>
    <row r="182" ht="18" customHeight="1" s="109">
      <c r="A182" s="8" t="n"/>
      <c r="B182" s="70" t="n"/>
      <c r="C182" s="8" t="n"/>
      <c r="D182" s="8" t="n"/>
      <c r="E182" s="33" t="n"/>
      <c r="F182" s="33" t="n"/>
      <c r="G182" s="76">
        <f>IF(D182="","",MAX(0,E182-F182))</f>
        <v/>
      </c>
      <c r="H182" s="33" t="n"/>
      <c r="I182" s="33">
        <f>IF(D182="","",IFERROR(VLOOKUP(D182,'📋 Catálogo'!$B$7:$L$41,11,0),""))</f>
        <v/>
      </c>
      <c r="J182" s="33">
        <f>IF(D182="","",IFERROR(VLOOKUP(D182,'📋 Catálogo'!$B$7:$L$41,10,0),""))</f>
        <v/>
      </c>
      <c r="K182" s="33" t="n"/>
    </row>
    <row r="183" ht="18" customHeight="1" s="109">
      <c r="A183" s="12" t="n"/>
      <c r="B183" s="72" t="n"/>
      <c r="C183" s="12" t="n"/>
      <c r="D183" s="12" t="n"/>
      <c r="E183" s="46" t="n"/>
      <c r="F183" s="46" t="n"/>
      <c r="G183" s="76">
        <f>IF(D183="","",MAX(0,E183-F183))</f>
        <v/>
      </c>
      <c r="H183" s="46" t="n"/>
      <c r="I183" s="46">
        <f>IF(D183="","",IFERROR(VLOOKUP(D183,'📋 Catálogo'!$B$7:$L$41,11,0),""))</f>
        <v/>
      </c>
      <c r="J183" s="46">
        <f>IF(D183="","",IFERROR(VLOOKUP(D183,'📋 Catálogo'!$B$7:$L$41,10,0),""))</f>
        <v/>
      </c>
      <c r="K183" s="46" t="n"/>
    </row>
    <row r="184" ht="18" customHeight="1" s="109">
      <c r="A184" s="8" t="n"/>
      <c r="B184" s="70" t="n"/>
      <c r="C184" s="8" t="n"/>
      <c r="D184" s="8" t="n"/>
      <c r="E184" s="33" t="n"/>
      <c r="F184" s="33" t="n"/>
      <c r="G184" s="76">
        <f>IF(D184="","",MAX(0,E184-F184))</f>
        <v/>
      </c>
      <c r="H184" s="33" t="n"/>
      <c r="I184" s="33">
        <f>IF(D184="","",IFERROR(VLOOKUP(D184,'📋 Catálogo'!$B$7:$L$41,11,0),""))</f>
        <v/>
      </c>
      <c r="J184" s="33">
        <f>IF(D184="","",IFERROR(VLOOKUP(D184,'📋 Catálogo'!$B$7:$L$41,10,0),""))</f>
        <v/>
      </c>
      <c r="K184" s="33" t="n"/>
    </row>
    <row r="185" ht="18" customHeight="1" s="109">
      <c r="A185" s="12" t="n"/>
      <c r="B185" s="72" t="n"/>
      <c r="C185" s="12" t="n"/>
      <c r="D185" s="12" t="n"/>
      <c r="E185" s="46" t="n"/>
      <c r="F185" s="46" t="n"/>
      <c r="G185" s="76">
        <f>IF(D185="","",MAX(0,E185-F185))</f>
        <v/>
      </c>
      <c r="H185" s="46" t="n"/>
      <c r="I185" s="46">
        <f>IF(D185="","",IFERROR(VLOOKUP(D185,'📋 Catálogo'!$B$7:$L$41,11,0),""))</f>
        <v/>
      </c>
      <c r="J185" s="46">
        <f>IF(D185="","",IFERROR(VLOOKUP(D185,'📋 Catálogo'!$B$7:$L$41,10,0),""))</f>
        <v/>
      </c>
      <c r="K185" s="46" t="n"/>
    </row>
    <row r="186" ht="18" customHeight="1" s="109">
      <c r="A186" s="8" t="n"/>
      <c r="B186" s="70" t="n"/>
      <c r="C186" s="8" t="n"/>
      <c r="D186" s="8" t="n"/>
      <c r="E186" s="33" t="n"/>
      <c r="F186" s="33" t="n"/>
      <c r="G186" s="76">
        <f>IF(D186="","",MAX(0,E186-F186))</f>
        <v/>
      </c>
      <c r="H186" s="33" t="n"/>
      <c r="I186" s="33">
        <f>IF(D186="","",IFERROR(VLOOKUP(D186,'📋 Catálogo'!$B$7:$L$41,11,0),""))</f>
        <v/>
      </c>
      <c r="J186" s="33">
        <f>IF(D186="","",IFERROR(VLOOKUP(D186,'📋 Catálogo'!$B$7:$L$41,10,0),""))</f>
        <v/>
      </c>
      <c r="K186" s="33" t="n"/>
    </row>
    <row r="187" ht="18" customHeight="1" s="109">
      <c r="A187" s="12" t="n"/>
      <c r="B187" s="72" t="n"/>
      <c r="C187" s="12" t="n"/>
      <c r="D187" s="12" t="n"/>
      <c r="E187" s="46" t="n"/>
      <c r="F187" s="46" t="n"/>
      <c r="G187" s="76">
        <f>IF(D187="","",MAX(0,E187-F187))</f>
        <v/>
      </c>
      <c r="H187" s="46" t="n"/>
      <c r="I187" s="46">
        <f>IF(D187="","",IFERROR(VLOOKUP(D187,'📋 Catálogo'!$B$7:$L$41,11,0),""))</f>
        <v/>
      </c>
      <c r="J187" s="46">
        <f>IF(D187="","",IFERROR(VLOOKUP(D187,'📋 Catálogo'!$B$7:$L$41,10,0),""))</f>
        <v/>
      </c>
      <c r="K187" s="46" t="n"/>
    </row>
    <row r="188" ht="18" customHeight="1" s="109">
      <c r="A188" s="8" t="n"/>
      <c r="B188" s="70" t="n"/>
      <c r="C188" s="8" t="n"/>
      <c r="D188" s="8" t="n"/>
      <c r="E188" s="33" t="n"/>
      <c r="F188" s="33" t="n"/>
      <c r="G188" s="76">
        <f>IF(D188="","",MAX(0,E188-F188))</f>
        <v/>
      </c>
      <c r="H188" s="33" t="n"/>
      <c r="I188" s="33">
        <f>IF(D188="","",IFERROR(VLOOKUP(D188,'📋 Catálogo'!$B$7:$L$41,11,0),""))</f>
        <v/>
      </c>
      <c r="J188" s="33">
        <f>IF(D188="","",IFERROR(VLOOKUP(D188,'📋 Catálogo'!$B$7:$L$41,10,0),""))</f>
        <v/>
      </c>
      <c r="K188" s="33" t="n"/>
    </row>
    <row r="189" ht="18" customHeight="1" s="109">
      <c r="A189" s="12" t="n"/>
      <c r="B189" s="72" t="n"/>
      <c r="C189" s="12" t="n"/>
      <c r="D189" s="12" t="n"/>
      <c r="E189" s="46" t="n"/>
      <c r="F189" s="46" t="n"/>
      <c r="G189" s="76">
        <f>IF(D189="","",MAX(0,E189-F189))</f>
        <v/>
      </c>
      <c r="H189" s="46" t="n"/>
      <c r="I189" s="46">
        <f>IF(D189="","",IFERROR(VLOOKUP(D189,'📋 Catálogo'!$B$7:$L$41,11,0),""))</f>
        <v/>
      </c>
      <c r="J189" s="46">
        <f>IF(D189="","",IFERROR(VLOOKUP(D189,'📋 Catálogo'!$B$7:$L$41,10,0),""))</f>
        <v/>
      </c>
      <c r="K189" s="46" t="n"/>
    </row>
    <row r="190" ht="18" customHeight="1" s="109">
      <c r="A190" s="8" t="n"/>
      <c r="B190" s="70" t="n"/>
      <c r="C190" s="8" t="n"/>
      <c r="D190" s="8" t="n"/>
      <c r="E190" s="33" t="n"/>
      <c r="F190" s="33" t="n"/>
      <c r="G190" s="76">
        <f>IF(D190="","",MAX(0,E190-F190))</f>
        <v/>
      </c>
      <c r="H190" s="33" t="n"/>
      <c r="I190" s="33">
        <f>IF(D190="","",IFERROR(VLOOKUP(D190,'📋 Catálogo'!$B$7:$L$41,11,0),""))</f>
        <v/>
      </c>
      <c r="J190" s="33">
        <f>IF(D190="","",IFERROR(VLOOKUP(D190,'📋 Catálogo'!$B$7:$L$41,10,0),""))</f>
        <v/>
      </c>
      <c r="K190" s="33" t="n"/>
    </row>
    <row r="191" ht="18" customHeight="1" s="109">
      <c r="A191" s="12" t="n"/>
      <c r="B191" s="72" t="n"/>
      <c r="C191" s="12" t="n"/>
      <c r="D191" s="12" t="n"/>
      <c r="E191" s="46" t="n"/>
      <c r="F191" s="46" t="n"/>
      <c r="G191" s="76">
        <f>IF(D191="","",MAX(0,E191-F191))</f>
        <v/>
      </c>
      <c r="H191" s="46" t="n"/>
      <c r="I191" s="46">
        <f>IF(D191="","",IFERROR(VLOOKUP(D191,'📋 Catálogo'!$B$7:$L$41,11,0),""))</f>
        <v/>
      </c>
      <c r="J191" s="46">
        <f>IF(D191="","",IFERROR(VLOOKUP(D191,'📋 Catálogo'!$B$7:$L$41,10,0),""))</f>
        <v/>
      </c>
      <c r="K191" s="46" t="n"/>
    </row>
    <row r="192" ht="18" customHeight="1" s="109">
      <c r="A192" s="8" t="n"/>
      <c r="B192" s="70" t="n"/>
      <c r="C192" s="8" t="n"/>
      <c r="D192" s="8" t="n"/>
      <c r="E192" s="33" t="n"/>
      <c r="F192" s="33" t="n"/>
      <c r="G192" s="76">
        <f>IF(D192="","",MAX(0,E192-F192))</f>
        <v/>
      </c>
      <c r="H192" s="33" t="n"/>
      <c r="I192" s="33">
        <f>IF(D192="","",IFERROR(VLOOKUP(D192,'📋 Catálogo'!$B$7:$L$41,11,0),""))</f>
        <v/>
      </c>
      <c r="J192" s="33">
        <f>IF(D192="","",IFERROR(VLOOKUP(D192,'📋 Catálogo'!$B$7:$L$41,10,0),""))</f>
        <v/>
      </c>
      <c r="K192" s="33" t="n"/>
    </row>
    <row r="193" ht="18" customHeight="1" s="109">
      <c r="A193" s="12" t="n"/>
      <c r="B193" s="72" t="n"/>
      <c r="C193" s="12" t="n"/>
      <c r="D193" s="12" t="n"/>
      <c r="E193" s="46" t="n"/>
      <c r="F193" s="46" t="n"/>
      <c r="G193" s="76">
        <f>IF(D193="","",MAX(0,E193-F193))</f>
        <v/>
      </c>
      <c r="H193" s="46" t="n"/>
      <c r="I193" s="46">
        <f>IF(D193="","",IFERROR(VLOOKUP(D193,'📋 Catálogo'!$B$7:$L$41,11,0),""))</f>
        <v/>
      </c>
      <c r="J193" s="46">
        <f>IF(D193="","",IFERROR(VLOOKUP(D193,'📋 Catálogo'!$B$7:$L$41,10,0),""))</f>
        <v/>
      </c>
      <c r="K193" s="46" t="n"/>
    </row>
    <row r="194" ht="18" customHeight="1" s="109">
      <c r="A194" s="8" t="n"/>
      <c r="B194" s="70" t="n"/>
      <c r="C194" s="8" t="n"/>
      <c r="D194" s="8" t="n"/>
      <c r="E194" s="33" t="n"/>
      <c r="F194" s="33" t="n"/>
      <c r="G194" s="76">
        <f>IF(D194="","",MAX(0,E194-F194))</f>
        <v/>
      </c>
      <c r="H194" s="33" t="n"/>
      <c r="I194" s="33">
        <f>IF(D194="","",IFERROR(VLOOKUP(D194,'📋 Catálogo'!$B$7:$L$41,11,0),""))</f>
        <v/>
      </c>
      <c r="J194" s="33">
        <f>IF(D194="","",IFERROR(VLOOKUP(D194,'📋 Catálogo'!$B$7:$L$41,10,0),""))</f>
        <v/>
      </c>
      <c r="K194" s="33" t="n"/>
    </row>
    <row r="195" ht="18" customHeight="1" s="109">
      <c r="A195" s="12" t="n"/>
      <c r="B195" s="72" t="n"/>
      <c r="C195" s="12" t="n"/>
      <c r="D195" s="12" t="n"/>
      <c r="E195" s="46" t="n"/>
      <c r="F195" s="46" t="n"/>
      <c r="G195" s="76">
        <f>IF(D195="","",MAX(0,E195-F195))</f>
        <v/>
      </c>
      <c r="H195" s="46" t="n"/>
      <c r="I195" s="46">
        <f>IF(D195="","",IFERROR(VLOOKUP(D195,'📋 Catálogo'!$B$7:$L$41,11,0),""))</f>
        <v/>
      </c>
      <c r="J195" s="46">
        <f>IF(D195="","",IFERROR(VLOOKUP(D195,'📋 Catálogo'!$B$7:$L$41,10,0),""))</f>
        <v/>
      </c>
      <c r="K195" s="46" t="n"/>
    </row>
    <row r="196" ht="18" customHeight="1" s="109">
      <c r="A196" s="8" t="n"/>
      <c r="B196" s="70" t="n"/>
      <c r="C196" s="8" t="n"/>
      <c r="D196" s="8" t="n"/>
      <c r="E196" s="33" t="n"/>
      <c r="F196" s="33" t="n"/>
      <c r="G196" s="76">
        <f>IF(D196="","",MAX(0,E196-F196))</f>
        <v/>
      </c>
      <c r="H196" s="33" t="n"/>
      <c r="I196" s="33">
        <f>IF(D196="","",IFERROR(VLOOKUP(D196,'📋 Catálogo'!$B$7:$L$41,11,0),""))</f>
        <v/>
      </c>
      <c r="J196" s="33">
        <f>IF(D196="","",IFERROR(VLOOKUP(D196,'📋 Catálogo'!$B$7:$L$41,10,0),""))</f>
        <v/>
      </c>
      <c r="K196" s="33" t="n"/>
    </row>
    <row r="197" ht="18" customHeight="1" s="109">
      <c r="A197" s="12" t="n"/>
      <c r="B197" s="72" t="n"/>
      <c r="C197" s="12" t="n"/>
      <c r="D197" s="12" t="n"/>
      <c r="E197" s="46" t="n"/>
      <c r="F197" s="46" t="n"/>
      <c r="G197" s="76">
        <f>IF(D197="","",MAX(0,E197-F197))</f>
        <v/>
      </c>
      <c r="H197" s="46" t="n"/>
      <c r="I197" s="46">
        <f>IF(D197="","",IFERROR(VLOOKUP(D197,'📋 Catálogo'!$B$7:$L$41,11,0),""))</f>
        <v/>
      </c>
      <c r="J197" s="46">
        <f>IF(D197="","",IFERROR(VLOOKUP(D197,'📋 Catálogo'!$B$7:$L$41,10,0),""))</f>
        <v/>
      </c>
      <c r="K197" s="46" t="n"/>
    </row>
    <row r="198" ht="18" customHeight="1" s="109">
      <c r="A198" s="8" t="n"/>
      <c r="B198" s="70" t="n"/>
      <c r="C198" s="8" t="n"/>
      <c r="D198" s="8" t="n"/>
      <c r="E198" s="33" t="n"/>
      <c r="F198" s="33" t="n"/>
      <c r="G198" s="76">
        <f>IF(D198="","",MAX(0,E198-F198))</f>
        <v/>
      </c>
      <c r="H198" s="33" t="n"/>
      <c r="I198" s="33">
        <f>IF(D198="","",IFERROR(VLOOKUP(D198,'📋 Catálogo'!$B$7:$L$41,11,0),""))</f>
        <v/>
      </c>
      <c r="J198" s="33">
        <f>IF(D198="","",IFERROR(VLOOKUP(D198,'📋 Catálogo'!$B$7:$L$41,10,0),""))</f>
        <v/>
      </c>
      <c r="K198" s="33" t="n"/>
    </row>
    <row r="199" ht="18" customHeight="1" s="109">
      <c r="A199" s="12" t="n"/>
      <c r="B199" s="72" t="n"/>
      <c r="C199" s="12" t="n"/>
      <c r="D199" s="12" t="n"/>
      <c r="E199" s="46" t="n"/>
      <c r="F199" s="46" t="n"/>
      <c r="G199" s="76">
        <f>IF(D199="","",MAX(0,E199-F199))</f>
        <v/>
      </c>
      <c r="H199" s="46" t="n"/>
      <c r="I199" s="46">
        <f>IF(D199="","",IFERROR(VLOOKUP(D199,'📋 Catálogo'!$B$7:$L$41,11,0),""))</f>
        <v/>
      </c>
      <c r="J199" s="46">
        <f>IF(D199="","",IFERROR(VLOOKUP(D199,'📋 Catálogo'!$B$7:$L$41,10,0),""))</f>
        <v/>
      </c>
      <c r="K199" s="46" t="n"/>
    </row>
    <row r="200" ht="18" customHeight="1" s="109">
      <c r="A200" s="8" t="n"/>
      <c r="B200" s="70" t="n"/>
      <c r="C200" s="8" t="n"/>
      <c r="D200" s="8" t="n"/>
      <c r="E200" s="33" t="n"/>
      <c r="F200" s="33" t="n"/>
      <c r="G200" s="76">
        <f>IF(D200="","",MAX(0,E200-F200))</f>
        <v/>
      </c>
      <c r="H200" s="33" t="n"/>
      <c r="I200" s="33">
        <f>IF(D200="","",IFERROR(VLOOKUP(D200,'📋 Catálogo'!$B$7:$L$41,11,0),""))</f>
        <v/>
      </c>
      <c r="J200" s="33">
        <f>IF(D200="","",IFERROR(VLOOKUP(D200,'📋 Catálogo'!$B$7:$L$41,10,0),""))</f>
        <v/>
      </c>
      <c r="K200" s="33" t="n"/>
    </row>
    <row r="201" ht="18" customHeight="1" s="109">
      <c r="A201" s="12" t="n"/>
      <c r="B201" s="72" t="n"/>
      <c r="C201" s="12" t="n"/>
      <c r="D201" s="12" t="n"/>
      <c r="E201" s="46" t="n"/>
      <c r="F201" s="46" t="n"/>
      <c r="G201" s="76">
        <f>IF(D201="","",MAX(0,E201-F201))</f>
        <v/>
      </c>
      <c r="H201" s="46" t="n"/>
      <c r="I201" s="46">
        <f>IF(D201="","",IFERROR(VLOOKUP(D201,'📋 Catálogo'!$B$7:$L$41,11,0),""))</f>
        <v/>
      </c>
      <c r="J201" s="46">
        <f>IF(D201="","",IFERROR(VLOOKUP(D201,'📋 Catálogo'!$B$7:$L$41,10,0),""))</f>
        <v/>
      </c>
      <c r="K201" s="46" t="n"/>
    </row>
    <row r="202" ht="18" customHeight="1" s="109">
      <c r="A202" s="8" t="n"/>
      <c r="B202" s="70" t="n"/>
      <c r="C202" s="8" t="n"/>
      <c r="D202" s="8" t="n"/>
      <c r="E202" s="33" t="n"/>
      <c r="F202" s="33" t="n"/>
      <c r="G202" s="76">
        <f>IF(D202="","",MAX(0,E202-F202))</f>
        <v/>
      </c>
      <c r="H202" s="33" t="n"/>
      <c r="I202" s="33">
        <f>IF(D202="","",IFERROR(VLOOKUP(D202,'📋 Catálogo'!$B$7:$L$41,11,0),""))</f>
        <v/>
      </c>
      <c r="J202" s="33">
        <f>IF(D202="","",IFERROR(VLOOKUP(D202,'📋 Catálogo'!$B$7:$L$41,10,0),""))</f>
        <v/>
      </c>
      <c r="K202" s="33" t="n"/>
    </row>
    <row r="203" ht="18" customHeight="1" s="109">
      <c r="A203" s="12" t="n"/>
      <c r="B203" s="72" t="n"/>
      <c r="C203" s="12" t="n"/>
      <c r="D203" s="12" t="n"/>
      <c r="E203" s="46" t="n"/>
      <c r="F203" s="46" t="n"/>
      <c r="G203" s="76">
        <f>IF(D203="","",MAX(0,E203-F203))</f>
        <v/>
      </c>
      <c r="H203" s="46" t="n"/>
      <c r="I203" s="46">
        <f>IF(D203="","",IFERROR(VLOOKUP(D203,'📋 Catálogo'!$B$7:$L$41,11,0),""))</f>
        <v/>
      </c>
      <c r="J203" s="46">
        <f>IF(D203="","",IFERROR(VLOOKUP(D203,'📋 Catálogo'!$B$7:$L$41,10,0),""))</f>
        <v/>
      </c>
      <c r="K203" s="46" t="n"/>
    </row>
    <row r="204" ht="18" customHeight="1" s="109">
      <c r="A204" s="8" t="n"/>
      <c r="B204" s="70" t="n"/>
      <c r="C204" s="8" t="n"/>
      <c r="D204" s="8" t="n"/>
      <c r="E204" s="33" t="n"/>
      <c r="F204" s="33" t="n"/>
      <c r="G204" s="76">
        <f>IF(D204="","",MAX(0,E204-F204))</f>
        <v/>
      </c>
      <c r="H204" s="33" t="n"/>
      <c r="I204" s="33">
        <f>IF(D204="","",IFERROR(VLOOKUP(D204,'📋 Catálogo'!$B$7:$L$41,11,0),""))</f>
        <v/>
      </c>
      <c r="J204" s="33">
        <f>IF(D204="","",IFERROR(VLOOKUP(D204,'📋 Catálogo'!$B$7:$L$41,10,0),""))</f>
        <v/>
      </c>
      <c r="K204" s="33" t="n"/>
    </row>
    <row r="205" ht="18" customHeight="1" s="109">
      <c r="A205" s="12" t="n"/>
      <c r="B205" s="72" t="n"/>
      <c r="C205" s="12" t="n"/>
      <c r="D205" s="12" t="n"/>
      <c r="E205" s="46" t="n"/>
      <c r="F205" s="46" t="n"/>
      <c r="G205" s="76">
        <f>IF(D205="","",MAX(0,E205-F205))</f>
        <v/>
      </c>
      <c r="H205" s="46" t="n"/>
      <c r="I205" s="46">
        <f>IF(D205="","",IFERROR(VLOOKUP(D205,'📋 Catálogo'!$B$7:$L$41,11,0),""))</f>
        <v/>
      </c>
      <c r="J205" s="46">
        <f>IF(D205="","",IFERROR(VLOOKUP(D205,'📋 Catálogo'!$B$7:$L$41,10,0),""))</f>
        <v/>
      </c>
      <c r="K205" s="46" t="n"/>
    </row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2:K2"/>
    <mergeCell ref="B1:K1"/>
    <mergeCell ref="A4:K4"/>
  </mergeCells>
  <dataValidations count="1">
    <dataValidation sqref="K6:K205" showDropDown="0" showInputMessage="0" showErrorMessage="0" allowBlank="1" type="list">
      <formula1>"Aguardando,Imprimindo,Concluído"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4" customWidth="1" style="109" min="3" max="3"/>
    <col width="12" customWidth="1" style="109" min="4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Produto</t>
        </is>
      </c>
      <c r="C4" s="7" t="inlineStr">
        <is>
          <t>Categoria</t>
        </is>
      </c>
      <c r="D4" s="7" t="inlineStr">
        <is>
          <t>Fabricadas</t>
        </is>
      </c>
      <c r="E4" s="7" t="inlineStr">
        <is>
          <t>Saídas</t>
        </is>
      </c>
      <c r="F4" s="7" t="inlineStr">
        <is>
          <t>Reservadas</t>
        </is>
      </c>
      <c r="G4" s="7" t="inlineStr">
        <is>
          <t>Disponível</t>
        </is>
      </c>
      <c r="H4" s="7" t="inlineStr">
        <is>
          <t>Status</t>
        </is>
      </c>
    </row>
    <row r="5" ht="18" customHeight="1" s="109">
      <c r="A5" s="8">
        <f>IF(B5="","",IFERROR(VLOOKUP(B5,'📋 Catálogo'!$B$7:$V$41,21,0),""))</f>
        <v/>
      </c>
      <c r="B5" s="8" t="inlineStr">
        <is>
          <t>Estádio Corinthians</t>
        </is>
      </c>
      <c r="C5" s="8" t="inlineStr">
        <is>
          <t>Miniatura</t>
        </is>
      </c>
      <c r="D5" s="33" t="n">
        <v>29</v>
      </c>
      <c r="E5" s="33" t="n">
        <v>0</v>
      </c>
      <c r="F5" s="33" t="n">
        <v>0</v>
      </c>
      <c r="G5" s="77">
        <f>IF(A5="","",D5-E5-F5)</f>
        <v/>
      </c>
      <c r="H5" s="78">
        <f>IF(A5="","",IF(G5&lt;0,"⚠️ NEGATIVO",IF(G5=0,"⛔ ZERADO",IF(G5&lt;5,"📦 BAIXO","✅ OK"))))</f>
        <v/>
      </c>
    </row>
    <row r="6" ht="18" customHeight="1" s="109">
      <c r="A6" s="12">
        <f>IF(B6="","",IFERROR(VLOOKUP(B6,'📋 Catálogo'!$B$7:$V$41,21,0),""))</f>
        <v/>
      </c>
      <c r="B6" s="12" t="inlineStr">
        <is>
          <t>Estádio Palmeiras</t>
        </is>
      </c>
      <c r="C6" s="12" t="inlineStr">
        <is>
          <t>Miniatura</t>
        </is>
      </c>
      <c r="D6" s="46" t="n">
        <v>14</v>
      </c>
      <c r="E6" s="46" t="n">
        <v>0</v>
      </c>
      <c r="F6" s="46" t="n">
        <v>0</v>
      </c>
      <c r="G6" s="77">
        <f>IF(A6="","",D6-E6-F6)</f>
        <v/>
      </c>
      <c r="H6" s="79">
        <f>IF(A6="","",IF(G6&lt;0,"⚠️ NEGATIVO",IF(G6=0,"⛔ ZERADO",IF(G6&lt;5,"📦 BAIXO","✅ OK"))))</f>
        <v/>
      </c>
    </row>
    <row r="7" ht="18" customHeight="1" s="109">
      <c r="A7" s="8">
        <f>IF(B7="","",IFERROR(VLOOKUP(B7,'📋 Catálogo'!$B$7:$V$41,21,0),""))</f>
        <v/>
      </c>
      <c r="B7" s="8" t="inlineStr">
        <is>
          <t>Estádio São Paulo</t>
        </is>
      </c>
      <c r="C7" s="8" t="inlineStr">
        <is>
          <t>Miniatura</t>
        </is>
      </c>
      <c r="D7" s="33" t="n">
        <v>15</v>
      </c>
      <c r="E7" s="33" t="n">
        <v>0</v>
      </c>
      <c r="F7" s="33" t="n">
        <v>0</v>
      </c>
      <c r="G7" s="77">
        <f>IF(A7="","",D7-E7-F7)</f>
        <v/>
      </c>
      <c r="H7" s="78">
        <f>IF(A7="","",IF(G7&lt;0,"⚠️ NEGATIVO",IF(G7=0,"⛔ ZERADO",IF(G7&lt;5,"📦 BAIXO","✅ OK"))))</f>
        <v/>
      </c>
    </row>
    <row r="8" ht="18" customHeight="1" s="109">
      <c r="A8" s="12">
        <f>IF(B8="","",IFERROR(VLOOKUP(B8,'📋 Catálogo'!$B$7:$V$41,21,0),""))</f>
        <v/>
      </c>
      <c r="B8" s="12" t="inlineStr">
        <is>
          <t>Martelo Thor</t>
        </is>
      </c>
      <c r="C8" s="12" t="inlineStr">
        <is>
          <t>Miniatura</t>
        </is>
      </c>
      <c r="D8" s="46" t="n">
        <v>31</v>
      </c>
      <c r="E8" s="46" t="n">
        <v>0</v>
      </c>
      <c r="F8" s="46" t="n">
        <v>0</v>
      </c>
      <c r="G8" s="77">
        <f>IF(A8="","",D8-E8-F8)</f>
        <v/>
      </c>
      <c r="H8" s="79">
        <f>IF(A8="","",IF(G8&lt;0,"⚠️ NEGATIVO",IF(G8=0,"⛔ ZERADO",IF(G8&lt;5,"📦 BAIXO","✅ OK"))))</f>
        <v/>
      </c>
    </row>
    <row r="9" ht="18" customHeight="1" s="109">
      <c r="A9" s="8">
        <f>IF(B9="","",IFERROR(VLOOKUP(B9,'📋 Catálogo'!$B$7:$V$41,21,0),""))</f>
        <v/>
      </c>
      <c r="B9" s="8" t="inlineStr">
        <is>
          <t>Estádio Santos</t>
        </is>
      </c>
      <c r="C9" s="8" t="inlineStr">
        <is>
          <t>Miniatura</t>
        </is>
      </c>
      <c r="D9" s="33" t="n">
        <v>15</v>
      </c>
      <c r="E9" s="33" t="n">
        <v>0</v>
      </c>
      <c r="F9" s="33" t="n">
        <v>0</v>
      </c>
      <c r="G9" s="77">
        <f>IF(A9="","",D9-E9-F9)</f>
        <v/>
      </c>
      <c r="H9" s="78">
        <f>IF(A9="","",IF(G9&lt;0,"⚠️ NEGATIVO",IF(G9=0,"⛔ ZERADO",IF(G9&lt;5,"📦 BAIXO","✅ OK"))))</f>
        <v/>
      </c>
    </row>
    <row r="10" ht="18" customHeight="1" s="109">
      <c r="A10" s="12">
        <f>IF(B10="","",IFERROR(VLOOKUP(B10,'📋 Catálogo'!$B$7:$V$41,21,0),""))</f>
        <v/>
      </c>
      <c r="B10" s="12" t="inlineStr">
        <is>
          <t>Estádio Flamengo</t>
        </is>
      </c>
      <c r="C10" s="12" t="inlineStr">
        <is>
          <t>Miniatura</t>
        </is>
      </c>
      <c r="D10" s="46" t="n">
        <v>14</v>
      </c>
      <c r="E10" s="46" t="n">
        <v>0</v>
      </c>
      <c r="F10" s="46" t="n">
        <v>0</v>
      </c>
      <c r="G10" s="77">
        <f>IF(A10="","",D10-E10-F10)</f>
        <v/>
      </c>
      <c r="H10" s="79">
        <f>IF(A10="","",IF(G10&lt;0,"⚠️ NEGATIVO",IF(G10=0,"⛔ ZERADO",IF(G10&lt;5,"📦 BAIXO","✅ OK"))))</f>
        <v/>
      </c>
    </row>
    <row r="11" ht="18" customHeight="1" s="109">
      <c r="A11" s="8">
        <f>IF(B11="","",IFERROR(VLOOKUP(B11,'📋 Catálogo'!$B$7:$V$41,21,0),""))</f>
        <v/>
      </c>
      <c r="B11" s="8" t="inlineStr">
        <is>
          <t>Escudo Flamengo</t>
        </is>
      </c>
      <c r="C11" s="8" t="inlineStr">
        <is>
          <t>Miniatura</t>
        </is>
      </c>
      <c r="D11" s="33" t="n">
        <v>1</v>
      </c>
      <c r="E11" s="33" t="n">
        <v>0</v>
      </c>
      <c r="F11" s="33" t="n">
        <v>0</v>
      </c>
      <c r="G11" s="77">
        <f>IF(A11="","",D11-E11-F11)</f>
        <v/>
      </c>
      <c r="H11" s="78">
        <f>IF(A11="","",IF(G11&lt;0,"⚠️ NEGATIVO",IF(G11=0,"⛔ ZERADO",IF(G11&lt;5,"📦 BAIXO","✅ OK"))))</f>
        <v/>
      </c>
    </row>
    <row r="12" ht="18" customHeight="1" s="109">
      <c r="A12" s="12">
        <f>IF(B12="","",IFERROR(VLOOKUP(B12,'📋 Catálogo'!$B$7:$V$41,21,0),""))</f>
        <v/>
      </c>
      <c r="B12" s="12" t="inlineStr">
        <is>
          <t>Estela Sensorial Maior</t>
        </is>
      </c>
      <c r="C12" s="12" t="inlineStr">
        <is>
          <t>Enfeite/Decoração</t>
        </is>
      </c>
      <c r="D12" s="46" t="n">
        <v>9</v>
      </c>
      <c r="E12" s="46" t="n">
        <v>0</v>
      </c>
      <c r="F12" s="46" t="n">
        <v>0</v>
      </c>
      <c r="G12" s="77">
        <f>IF(A12="","",D12-E12-F12)</f>
        <v/>
      </c>
      <c r="H12" s="79">
        <f>IF(A12="","",IF(G12&lt;0,"⚠️ NEGATIVO",IF(G12=0,"⛔ ZERADO",IF(G12&lt;5,"📦 BAIXO","✅ OK"))))</f>
        <v/>
      </c>
    </row>
    <row r="13" ht="18" customHeight="1" s="109">
      <c r="A13" s="8">
        <f>IF(B13="","",IFERROR(VLOOKUP(B13,'📋 Catálogo'!$B$7:$V$41,21,0),""))</f>
        <v/>
      </c>
      <c r="B13" s="8" t="inlineStr">
        <is>
          <t>Minicraft Verde</t>
        </is>
      </c>
      <c r="C13" s="8" t="inlineStr">
        <is>
          <t>Miniatura</t>
        </is>
      </c>
      <c r="D13" s="33" t="n">
        <v>26</v>
      </c>
      <c r="E13" s="33" t="n">
        <v>0</v>
      </c>
      <c r="F13" s="33" t="n">
        <v>0</v>
      </c>
      <c r="G13" s="77">
        <f>IF(A13="","",D13-E13-F13)</f>
        <v/>
      </c>
      <c r="H13" s="78">
        <f>IF(A13="","",IF(G13&lt;0,"⚠️ NEGATIVO",IF(G13=0,"⛔ ZERADO",IF(G13&lt;5,"📦 BAIXO","✅ OK"))))</f>
        <v/>
      </c>
    </row>
    <row r="14" ht="18" customHeight="1" s="109">
      <c r="A14" s="12">
        <f>IF(B14="","",IFERROR(VLOOKUP(B14,'📋 Catálogo'!$B$7:$V$41,21,0),""))</f>
        <v/>
      </c>
      <c r="B14" s="12" t="inlineStr">
        <is>
          <t>Pentágono Sensorial</t>
        </is>
      </c>
      <c r="C14" s="12" t="inlineStr">
        <is>
          <t>Enfeite/Decoração</t>
        </is>
      </c>
      <c r="D14" s="46" t="n">
        <v>23</v>
      </c>
      <c r="E14" s="46" t="n">
        <v>0</v>
      </c>
      <c r="F14" s="46" t="n">
        <v>0</v>
      </c>
      <c r="G14" s="77">
        <f>IF(A14="","",D14-E14-F14)</f>
        <v/>
      </c>
      <c r="H14" s="79">
        <f>IF(A14="","",IF(G14&lt;0,"⚠️ NEGATIVO",IF(G14=0,"⛔ ZERADO",IF(G14&lt;5,"📦 BAIXO","✅ OK"))))</f>
        <v/>
      </c>
    </row>
    <row r="15" ht="18" customHeight="1" s="109">
      <c r="A15" s="8">
        <f>IF(B15="","",IFERROR(VLOOKUP(B15,'📋 Catálogo'!$B$7:$V$41,21,0),""))</f>
        <v/>
      </c>
      <c r="B15" s="8" t="inlineStr">
        <is>
          <t>Tubarão</t>
        </is>
      </c>
      <c r="C15" s="8" t="inlineStr">
        <is>
          <t>Miniatura</t>
        </is>
      </c>
      <c r="D15" s="33" t="n">
        <v>29</v>
      </c>
      <c r="E15" s="33" t="n">
        <v>0</v>
      </c>
      <c r="F15" s="33" t="n">
        <v>0</v>
      </c>
      <c r="G15" s="77">
        <f>IF(A15="","",D15-E15-F15)</f>
        <v/>
      </c>
      <c r="H15" s="78">
        <f>IF(A15="","",IF(G15&lt;0,"⚠️ NEGATIVO",IF(G15=0,"⛔ ZERADO",IF(G15&lt;5,"📦 BAIXO","✅ OK"))))</f>
        <v/>
      </c>
    </row>
    <row r="16" ht="18" customHeight="1" s="109">
      <c r="A16" s="12">
        <f>IF(B16="","",IFERROR(VLOOKUP(B16,'📋 Catálogo'!$B$7:$V$41,21,0),""))</f>
        <v/>
      </c>
      <c r="B16" s="12" t="inlineStr">
        <is>
          <t>Nossa Senhora</t>
        </is>
      </c>
      <c r="C16" s="12" t="inlineStr">
        <is>
          <t>Miniatura</t>
        </is>
      </c>
      <c r="D16" s="46" t="n">
        <v>6</v>
      </c>
      <c r="E16" s="46" t="n">
        <v>0</v>
      </c>
      <c r="F16" s="46" t="n">
        <v>0</v>
      </c>
      <c r="G16" s="77">
        <f>IF(A16="","",D16-E16-F16)</f>
        <v/>
      </c>
      <c r="H16" s="79">
        <f>IF(A16="","",IF(G16&lt;0,"⚠️ NEGATIVO",IF(G16=0,"⛔ ZERADO",IF(G16&lt;5,"📦 BAIXO","✅ OK"))))</f>
        <v/>
      </c>
    </row>
    <row r="17" ht="18" customHeight="1" s="109">
      <c r="A17" s="8">
        <f>IF(B17="","",IFERROR(VLOOKUP(B17,'📋 Catálogo'!$B$7:$V$41,21,0),""))</f>
        <v/>
      </c>
      <c r="B17" s="8" t="inlineStr">
        <is>
          <t>Gato Preto</t>
        </is>
      </c>
      <c r="C17" s="8" t="inlineStr">
        <is>
          <t>Miniatura</t>
        </is>
      </c>
      <c r="D17" s="33" t="n">
        <v>20</v>
      </c>
      <c r="E17" s="33" t="n">
        <v>0</v>
      </c>
      <c r="F17" s="33" t="n">
        <v>0</v>
      </c>
      <c r="G17" s="77">
        <f>IF(A17="","",D17-E17-F17)</f>
        <v/>
      </c>
      <c r="H17" s="78">
        <f>IF(A17="","",IF(G17&lt;0,"⚠️ NEGATIVO",IF(G17=0,"⛔ ZERADO",IF(G17&lt;5,"📦 BAIXO","✅ OK"))))</f>
        <v/>
      </c>
    </row>
    <row r="18" ht="18" customHeight="1" s="109">
      <c r="A18" s="12">
        <f>IF(B18="","",IFERROR(VLOOKUP(B18,'📋 Catálogo'!$B$7:$V$41,21,0),""))</f>
        <v/>
      </c>
      <c r="B18" s="12" t="inlineStr">
        <is>
          <t>Stormtrooper</t>
        </is>
      </c>
      <c r="C18" s="12" t="inlineStr">
        <is>
          <t>Miniatura</t>
        </is>
      </c>
      <c r="D18" s="46" t="n">
        <v>11</v>
      </c>
      <c r="E18" s="46" t="n">
        <v>0</v>
      </c>
      <c r="F18" s="46" t="n">
        <v>0</v>
      </c>
      <c r="G18" s="77">
        <f>IF(A18="","",D18-E18-F18)</f>
        <v/>
      </c>
      <c r="H18" s="79">
        <f>IF(A18="","",IF(G18&lt;0,"⚠️ NEGATIVO",IF(G18=0,"⛔ ZERADO",IF(G18&lt;5,"📦 BAIXO","✅ OK"))))</f>
        <v/>
      </c>
    </row>
    <row r="19" ht="18" customHeight="1" s="109">
      <c r="A19" s="8">
        <f>IF(B19="","",IFERROR(VLOOKUP(B19,'📋 Catálogo'!$B$7:$V$41,21,0),""))</f>
        <v/>
      </c>
      <c r="B19" s="8" t="inlineStr">
        <is>
          <t>Polvo</t>
        </is>
      </c>
      <c r="C19" s="8" t="inlineStr">
        <is>
          <t>Miniatura</t>
        </is>
      </c>
      <c r="D19" s="33" t="n">
        <v>12</v>
      </c>
      <c r="E19" s="33" t="n">
        <v>0</v>
      </c>
      <c r="F19" s="33" t="n">
        <v>0</v>
      </c>
      <c r="G19" s="77">
        <f>IF(A19="","",D19-E19-F19)</f>
        <v/>
      </c>
      <c r="H19" s="78">
        <f>IF(A19="","",IF(G19&lt;0,"⚠️ NEGATIVO",IF(G19=0,"⛔ ZERADO",IF(G19&lt;5,"📦 BAIXO","✅ OK"))))</f>
        <v/>
      </c>
    </row>
    <row r="20" ht="18" customHeight="1" s="109">
      <c r="A20" s="12">
        <f>IF(B20="","",IFERROR(VLOOKUP(B20,'📋 Catálogo'!$B$7:$V$41,21,0),""))</f>
        <v/>
      </c>
      <c r="B20" s="12" t="inlineStr">
        <is>
          <t>Copo Stanley</t>
        </is>
      </c>
      <c r="C20" s="12" t="inlineStr">
        <is>
          <t>Enfeite/Decoração</t>
        </is>
      </c>
      <c r="D20" s="46" t="n">
        <v>6</v>
      </c>
      <c r="E20" s="46" t="n">
        <v>0</v>
      </c>
      <c r="F20" s="46" t="n">
        <v>0</v>
      </c>
      <c r="G20" s="77">
        <f>IF(A20="","",D20-E20-F20)</f>
        <v/>
      </c>
      <c r="H20" s="79">
        <f>IF(A20="","",IF(G20&lt;0,"⚠️ NEGATIVO",IF(G20=0,"⛔ ZERADO",IF(G20&lt;5,"📦 BAIXO","✅ OK"))))</f>
        <v/>
      </c>
    </row>
    <row r="21" ht="18" customHeight="1" s="109">
      <c r="A21" s="8">
        <f>IF(B21="","",IFERROR(VLOOKUP(B21,'📋 Catálogo'!$B$7:$V$41,21,0),""))</f>
        <v/>
      </c>
      <c r="B21" s="8" t="inlineStr">
        <is>
          <t>Homem de Ferro</t>
        </is>
      </c>
      <c r="C21" s="8" t="inlineStr">
        <is>
          <t>Miniatura</t>
        </is>
      </c>
      <c r="D21" s="33" t="n">
        <v>7</v>
      </c>
      <c r="E21" s="33" t="n">
        <v>0</v>
      </c>
      <c r="F21" s="33" t="n">
        <v>0</v>
      </c>
      <c r="G21" s="77">
        <f>IF(A21="","",D21-E21-F21)</f>
        <v/>
      </c>
      <c r="H21" s="78">
        <f>IF(A21="","",IF(G21&lt;0,"⚠️ NEGATIVO",IF(G21=0,"⛔ ZERADO",IF(G21&lt;5,"📦 BAIXO","✅ OK"))))</f>
        <v/>
      </c>
    </row>
    <row r="22" ht="18" customHeight="1" s="109">
      <c r="A22" s="12">
        <f>IF(B22="","",IFERROR(VLOOKUP(B22,'📋 Catálogo'!$B$7:$V$41,21,0),""))</f>
        <v/>
      </c>
      <c r="B22" s="12" t="inlineStr">
        <is>
          <t>Homem Aranha</t>
        </is>
      </c>
      <c r="C22" s="12" t="inlineStr">
        <is>
          <t>Miniatura</t>
        </is>
      </c>
      <c r="D22" s="46" t="n">
        <v>18</v>
      </c>
      <c r="E22" s="46" t="n">
        <v>0</v>
      </c>
      <c r="F22" s="46" t="n">
        <v>0</v>
      </c>
      <c r="G22" s="77">
        <f>IF(A22="","",D22-E22-F22)</f>
        <v/>
      </c>
      <c r="H22" s="79">
        <f>IF(A22="","",IF(G22&lt;0,"⚠️ NEGATIVO",IF(G22=0,"⛔ ZERADO",IF(G22&lt;5,"📦 BAIXO","✅ OK"))))</f>
        <v/>
      </c>
    </row>
    <row r="23" ht="18" customHeight="1" s="109">
      <c r="A23" s="8">
        <f>IF(B23="","",IFERROR(VLOOKUP(B23,'📋 Catálogo'!$B$7:$V$41,21,0),""))</f>
        <v/>
      </c>
      <c r="B23" s="8" t="inlineStr">
        <is>
          <t>Baby Groot</t>
        </is>
      </c>
      <c r="C23" s="8" t="inlineStr">
        <is>
          <t>Miniatura</t>
        </is>
      </c>
      <c r="D23" s="33" t="n">
        <v>6</v>
      </c>
      <c r="E23" s="33" t="n">
        <v>0</v>
      </c>
      <c r="F23" s="33" t="n">
        <v>0</v>
      </c>
      <c r="G23" s="77">
        <f>IF(A23="","",D23-E23-F23)</f>
        <v/>
      </c>
      <c r="H23" s="78">
        <f>IF(A23="","",IF(G23&lt;0,"⚠️ NEGATIVO",IF(G23=0,"⛔ ZERADO",IF(G23&lt;5,"📦 BAIXO","✅ OK"))))</f>
        <v/>
      </c>
    </row>
    <row r="24" ht="18" customHeight="1" s="109">
      <c r="A24" s="12">
        <f>IF(B24="","",IFERROR(VLOOKUP(B24,'📋 Catálogo'!$B$7:$V$41,21,0),""))</f>
        <v/>
      </c>
      <c r="B24" s="12" t="inlineStr">
        <is>
          <t>Alien</t>
        </is>
      </c>
      <c r="C24" s="12" t="inlineStr">
        <is>
          <t>Miniatura</t>
        </is>
      </c>
      <c r="D24" s="46" t="n">
        <v>20</v>
      </c>
      <c r="E24" s="46" t="n">
        <v>0</v>
      </c>
      <c r="F24" s="46" t="n">
        <v>0</v>
      </c>
      <c r="G24" s="77">
        <f>IF(A24="","",D24-E24-F24)</f>
        <v/>
      </c>
      <c r="H24" s="79">
        <f>IF(A24="","",IF(G24&lt;0,"⚠️ NEGATIVO",IF(G24=0,"⛔ ZERADO",IF(G24&lt;5,"📦 BAIXO","✅ OK"))))</f>
        <v/>
      </c>
    </row>
    <row r="25" ht="18" customHeight="1" s="109">
      <c r="A25" s="8">
        <f>IF(B25="","",IFERROR(VLOOKUP(B25,'📋 Catálogo'!$B$7:$V$41,21,0),""))</f>
        <v/>
      </c>
      <c r="B25" s="8" t="inlineStr">
        <is>
          <t>Harry Potter</t>
        </is>
      </c>
      <c r="C25" s="8" t="inlineStr">
        <is>
          <t>Miniatura</t>
        </is>
      </c>
      <c r="D25" s="33" t="n">
        <v>11</v>
      </c>
      <c r="E25" s="33" t="n">
        <v>0</v>
      </c>
      <c r="F25" s="33" t="n">
        <v>0</v>
      </c>
      <c r="G25" s="77">
        <f>IF(A25="","",D25-E25-F25)</f>
        <v/>
      </c>
      <c r="H25" s="78">
        <f>IF(A25="","",IF(G25&lt;0,"⚠️ NEGATIVO",IF(G25=0,"⛔ ZERADO",IF(G25&lt;5,"📦 BAIXO","✅ OK"))))</f>
        <v/>
      </c>
    </row>
    <row r="26" ht="18" customHeight="1" s="109">
      <c r="A26" s="12">
        <f>IF(B26="","",IFERROR(VLOOKUP(B26,'📋 Catálogo'!$B$7:$V$41,21,0),""))</f>
        <v/>
      </c>
      <c r="B26" s="12" t="inlineStr">
        <is>
          <t>Cone</t>
        </is>
      </c>
      <c r="C26" s="12" t="inlineStr">
        <is>
          <t>Enfeite/Decoração</t>
        </is>
      </c>
      <c r="D26" s="46" t="n">
        <v>10</v>
      </c>
      <c r="E26" s="46" t="n">
        <v>0</v>
      </c>
      <c r="F26" s="46" t="n">
        <v>0</v>
      </c>
      <c r="G26" s="77">
        <f>IF(A26="","",D26-E26-F26)</f>
        <v/>
      </c>
      <c r="H26" s="79">
        <f>IF(A26="","",IF(G26&lt;0,"⚠️ NEGATIVO",IF(G26=0,"⛔ ZERADO",IF(G26&lt;5,"📦 BAIXO","✅ OK"))))</f>
        <v/>
      </c>
    </row>
    <row r="27" ht="18" customHeight="1" s="109">
      <c r="A27" s="8">
        <f>IF(B27="","",IFERROR(VLOOKUP(B27,'📋 Catálogo'!$B$7:$V$41,21,0),""))</f>
        <v/>
      </c>
      <c r="B27" s="8" t="inlineStr">
        <is>
          <t>Pokebola</t>
        </is>
      </c>
      <c r="C27" s="8" t="inlineStr">
        <is>
          <t>Miniatura</t>
        </is>
      </c>
      <c r="D27" s="33" t="n">
        <v>5</v>
      </c>
      <c r="E27" s="33" t="n">
        <v>0</v>
      </c>
      <c r="F27" s="33" t="n">
        <v>0</v>
      </c>
      <c r="G27" s="77">
        <f>IF(A27="","",D27-E27-F27)</f>
        <v/>
      </c>
      <c r="H27" s="78">
        <f>IF(A27="","",IF(G27&lt;0,"⚠️ NEGATIVO",IF(G27=0,"⛔ ZERADO",IF(G27&lt;5,"📦 BAIXO","✅ OK"))))</f>
        <v/>
      </c>
    </row>
    <row r="28" ht="18" customHeight="1" s="109">
      <c r="A28" s="12">
        <f>IF(B28="","",IFERROR(VLOOKUP(B28,'📋 Catálogo'!$B$7:$V$41,21,0),""))</f>
        <v/>
      </c>
      <c r="B28" s="12" t="inlineStr">
        <is>
          <t>Fantasma Vermelho</t>
        </is>
      </c>
      <c r="C28" s="12" t="inlineStr">
        <is>
          <t>Miniatura</t>
        </is>
      </c>
      <c r="D28" s="46" t="n">
        <v>5</v>
      </c>
      <c r="E28" s="46" t="n">
        <v>0</v>
      </c>
      <c r="F28" s="46" t="n">
        <v>0</v>
      </c>
      <c r="G28" s="77">
        <f>IF(A28="","",D28-E28-F28)</f>
        <v/>
      </c>
      <c r="H28" s="79">
        <f>IF(A28="","",IF(G28&lt;0,"⚠️ NEGATIVO",IF(G28=0,"⛔ ZERADO",IF(G28&lt;5,"📦 BAIXO","✅ OK"))))</f>
        <v/>
      </c>
    </row>
    <row r="29" ht="18" customHeight="1" s="109">
      <c r="A29" s="8">
        <f>IF(B29="","",IFERROR(VLOOKUP(B29,'📋 Catálogo'!$B$7:$V$41,21,0),""))</f>
        <v/>
      </c>
      <c r="B29" s="8" t="inlineStr">
        <is>
          <t>Dado RPG</t>
        </is>
      </c>
      <c r="C29" s="8" t="inlineStr">
        <is>
          <t>Enfeite/Decoração</t>
        </is>
      </c>
      <c r="D29" s="33" t="n">
        <v>3</v>
      </c>
      <c r="E29" s="33" t="n">
        <v>0</v>
      </c>
      <c r="F29" s="33" t="n">
        <v>0</v>
      </c>
      <c r="G29" s="77">
        <f>IF(A29="","",D29-E29-F29)</f>
        <v/>
      </c>
      <c r="H29" s="78">
        <f>IF(A29="","",IF(G29&lt;0,"⚠️ NEGATIVO",IF(G29=0,"⛔ ZERADO",IF(G29&lt;5,"📦 BAIXO","✅ OK"))))</f>
        <v/>
      </c>
    </row>
    <row r="30" ht="18" customHeight="1" s="109">
      <c r="A30" s="12">
        <f>IF(B30="","",IFERROR(VLOOKUP(B30,'📋 Catálogo'!$B$7:$V$41,21,0),""))</f>
        <v/>
      </c>
      <c r="B30" s="12" t="inlineStr">
        <is>
          <t>Mala</t>
        </is>
      </c>
      <c r="C30" s="12" t="inlineStr">
        <is>
          <t>Miniatura</t>
        </is>
      </c>
      <c r="D30" s="46" t="n">
        <v>2</v>
      </c>
      <c r="E30" s="46" t="n">
        <v>0</v>
      </c>
      <c r="F30" s="46" t="n">
        <v>0</v>
      </c>
      <c r="G30" s="77">
        <f>IF(A30="","",D30-E30-F30)</f>
        <v/>
      </c>
      <c r="H30" s="79">
        <f>IF(A30="","",IF(G30&lt;0,"⚠️ NEGATIVO",IF(G30=0,"⛔ ZERADO",IF(G30&lt;5,"📦 BAIXO","✅ OK"))))</f>
        <v/>
      </c>
    </row>
    <row r="31" ht="18" customHeight="1" s="109">
      <c r="A31" s="8">
        <f>IF(B31="","",IFERROR(VLOOKUP(B31,'📋 Catálogo'!$B$7:$V$41,21,0),""))</f>
        <v/>
      </c>
      <c r="B31" s="8" t="inlineStr">
        <is>
          <t>Jacaré</t>
        </is>
      </c>
      <c r="C31" s="8" t="inlineStr">
        <is>
          <t>Miniatura</t>
        </is>
      </c>
      <c r="D31" s="33" t="n">
        <v>1</v>
      </c>
      <c r="E31" s="33" t="n">
        <v>0</v>
      </c>
      <c r="F31" s="33" t="n">
        <v>0</v>
      </c>
      <c r="G31" s="77">
        <f>IF(A31="","",D31-E31-F31)</f>
        <v/>
      </c>
      <c r="H31" s="78">
        <f>IF(A31="","",IF(G31&lt;0,"⚠️ NEGATIVO",IF(G31=0,"⛔ ZERADO",IF(G31&lt;5,"📦 BAIXO","✅ OK"))))</f>
        <v/>
      </c>
    </row>
    <row r="32" ht="18" customHeight="1" s="109">
      <c r="A32" s="12">
        <f>IF(B32="","",IFERROR(VLOOKUP(B32,'📋 Catálogo'!$B$7:$V$41,21,0),""))</f>
        <v/>
      </c>
      <c r="B32" s="12" t="inlineStr">
        <is>
          <t>Bloco de Interrogação Mario</t>
        </is>
      </c>
      <c r="C32" s="12" t="inlineStr">
        <is>
          <t>Miniatura</t>
        </is>
      </c>
      <c r="D32" s="46" t="n">
        <v>1</v>
      </c>
      <c r="E32" s="46" t="n">
        <v>0</v>
      </c>
      <c r="F32" s="46" t="n">
        <v>0</v>
      </c>
      <c r="G32" s="77">
        <f>IF(A32="","",D32-E32-F32)</f>
        <v/>
      </c>
      <c r="H32" s="79">
        <f>IF(A32="","",IF(G32&lt;0,"⚠️ NEGATIVO",IF(G32=0,"⛔ ZERADO",IF(G32&lt;5,"📦 BAIXO","✅ OK"))))</f>
        <v/>
      </c>
    </row>
    <row r="33" ht="18" customHeight="1" s="109">
      <c r="A33" s="8">
        <f>IF(B33="","",IFERROR(VLOOKUP(B33,'📋 Catálogo'!$B$7:$V$41,21,0),""))</f>
        <v/>
      </c>
      <c r="B33" s="8" t="inlineStr">
        <is>
          <t>Boca Abridor de Garrafa</t>
        </is>
      </c>
      <c r="C33" s="8" t="inlineStr">
        <is>
          <t>Plaquinha</t>
        </is>
      </c>
      <c r="D33" s="33" t="n">
        <v>10</v>
      </c>
      <c r="E33" s="33" t="n">
        <v>0</v>
      </c>
      <c r="F33" s="33" t="n">
        <v>0</v>
      </c>
      <c r="G33" s="77">
        <f>IF(A33="","",D33-E33-F33)</f>
        <v/>
      </c>
      <c r="H33" s="78">
        <f>IF(A33="","",IF(G33&lt;0,"⚠️ NEGATIVO",IF(G33=0,"⛔ ZERADO",IF(G33&lt;5,"📦 BAIXO","✅ OK"))))</f>
        <v/>
      </c>
    </row>
    <row r="34" ht="18" customHeight="1" s="109">
      <c r="A34" s="12" t="n"/>
      <c r="B34" s="12" t="n"/>
      <c r="C34" s="12" t="n"/>
      <c r="D34" s="46" t="n"/>
      <c r="E34" s="46" t="n"/>
      <c r="F34" s="46" t="n"/>
      <c r="G34" s="77">
        <f>IF(A34="","",D34-E34-F34)</f>
        <v/>
      </c>
      <c r="H34" s="79">
        <f>IF(A34="","",IF(G34&lt;0,"⚠️ NEGATIVO",IF(G34=0,"⛔ ZERADO",IF(G34&lt;5,"📦 BAIXO","✅ OK"))))</f>
        <v/>
      </c>
    </row>
    <row r="35" ht="18" customHeight="1" s="109">
      <c r="A35" s="8" t="n"/>
      <c r="B35" s="8" t="n"/>
      <c r="C35" s="8" t="n"/>
      <c r="D35" s="33" t="n"/>
      <c r="E35" s="33" t="n"/>
      <c r="F35" s="33" t="n"/>
      <c r="G35" s="77">
        <f>IF(A35="","",D35-E35-F35)</f>
        <v/>
      </c>
      <c r="H35" s="78">
        <f>IF(A35="","",IF(G35&lt;0,"⚠️ NEGATIVO",IF(G35=0,"⛔ ZERADO",IF(G35&lt;5,"📦 BAIXO","✅ OK"))))</f>
        <v/>
      </c>
    </row>
    <row r="36" ht="18" customHeight="1" s="109">
      <c r="A36" s="12" t="n"/>
      <c r="B36" s="12" t="n"/>
      <c r="C36" s="12" t="n"/>
      <c r="D36" s="46" t="n"/>
      <c r="E36" s="46" t="n"/>
      <c r="F36" s="46" t="n"/>
      <c r="G36" s="77">
        <f>IF(A36="","",D36-E36-F36)</f>
        <v/>
      </c>
      <c r="H36" s="79">
        <f>IF(A36="","",IF(G36&lt;0,"⚠️ NEGATIVO",IF(G36=0,"⛔ ZERADO",IF(G36&lt;5,"📦 BAIXO","✅ OK"))))</f>
        <v/>
      </c>
    </row>
    <row r="37" ht="18" customHeight="1" s="109">
      <c r="A37" s="8" t="n"/>
      <c r="B37" s="8" t="n"/>
      <c r="C37" s="8" t="n"/>
      <c r="D37" s="33" t="n"/>
      <c r="E37" s="33" t="n"/>
      <c r="F37" s="33" t="n"/>
      <c r="G37" s="77">
        <f>IF(A37="","",D37-E37-F37)</f>
        <v/>
      </c>
      <c r="H37" s="78">
        <f>IF(A37="","",IF(G37&lt;0,"⚠️ NEGATIVO",IF(G37=0,"⛔ ZERADO",IF(G37&lt;5,"📦 BAIXO","✅ OK"))))</f>
        <v/>
      </c>
    </row>
    <row r="38" ht="18" customHeight="1" s="109">
      <c r="A38" s="12" t="n"/>
      <c r="B38" s="12" t="n"/>
      <c r="C38" s="12" t="n"/>
      <c r="D38" s="46" t="n"/>
      <c r="E38" s="46" t="n"/>
      <c r="F38" s="46" t="n"/>
      <c r="G38" s="77">
        <f>IF(A38="","",D38-E38-F38)</f>
        <v/>
      </c>
      <c r="H38" s="79">
        <f>IF(A38="","",IF(G38&lt;0,"⚠️ NEGATIVO",IF(G38=0,"⛔ ZERADO",IF(G38&lt;5,"📦 BAIXO","✅ OK"))))</f>
        <v/>
      </c>
    </row>
    <row r="39" ht="18" customHeight="1" s="109">
      <c r="A39" s="8" t="n"/>
      <c r="B39" s="8" t="n"/>
      <c r="C39" s="8" t="n"/>
      <c r="D39" s="33" t="n"/>
      <c r="E39" s="33" t="n"/>
      <c r="F39" s="33" t="n"/>
      <c r="G39" s="77">
        <f>IF(A39="","",D39-E39-F39)</f>
        <v/>
      </c>
      <c r="H39" s="78">
        <f>IF(A39="","",IF(G39&lt;0,"⚠️ NEGATIVO",IF(G39=0,"⛔ ZERADO",IF(G39&lt;5,"📦 BAIXO","✅ OK"))))</f>
        <v/>
      </c>
    </row>
    <row r="40" ht="18" customHeight="1" s="109">
      <c r="A40" s="12" t="n"/>
      <c r="B40" s="12" t="n"/>
      <c r="C40" s="12" t="n"/>
      <c r="D40" s="46" t="n"/>
      <c r="E40" s="46" t="n"/>
      <c r="F40" s="46" t="n"/>
      <c r="G40" s="77">
        <f>IF(A40="","",D40-E40-F40)</f>
        <v/>
      </c>
      <c r="H40" s="79">
        <f>IF(A40="","",IF(G40&lt;0,"⚠️ NEGATIVO",IF(G40=0,"⛔ ZERADO",IF(G40&lt;5,"📦 BAIXO","✅ OK"))))</f>
        <v/>
      </c>
    </row>
    <row r="41" ht="18" customHeight="1" s="109">
      <c r="A41" s="8" t="n"/>
      <c r="B41" s="8" t="n"/>
      <c r="C41" s="8" t="n"/>
      <c r="D41" s="33" t="n"/>
      <c r="E41" s="33" t="n"/>
      <c r="F41" s="33" t="n"/>
      <c r="G41" s="77">
        <f>IF(A41="","",D41-E41-F41)</f>
        <v/>
      </c>
      <c r="H41" s="78">
        <f>IF(A41="","",IF(G41&lt;0,"⚠️ NEGATIVO",IF(G41=0,"⛔ ZERADO",IF(G41&lt;5,"📦 BAIXO","✅ OK"))))</f>
        <v/>
      </c>
    </row>
    <row r="42" ht="18" customHeight="1" s="109">
      <c r="A42" s="12" t="n"/>
      <c r="B42" s="12" t="n"/>
      <c r="C42" s="12" t="n"/>
      <c r="D42" s="46" t="n"/>
      <c r="E42" s="46" t="n"/>
      <c r="F42" s="46" t="n"/>
      <c r="G42" s="77">
        <f>IF(A42="","",D42-E42-F42)</f>
        <v/>
      </c>
      <c r="H42" s="79">
        <f>IF(A42="","",IF(G42&lt;0,"⚠️ NEGATIVO",IF(G42=0,"⛔ ZERADO",IF(G42&lt;5,"📦 BAIXO","✅ OK"))))</f>
        <v/>
      </c>
    </row>
    <row r="43" ht="18" customHeight="1" s="109">
      <c r="A43" s="8" t="n"/>
      <c r="B43" s="8" t="n"/>
      <c r="C43" s="8" t="n"/>
      <c r="D43" s="33" t="n"/>
      <c r="E43" s="33" t="n"/>
      <c r="F43" s="33" t="n"/>
      <c r="G43" s="77">
        <f>IF(A43="","",D43-E43-F43)</f>
        <v/>
      </c>
      <c r="H43" s="78">
        <f>IF(A43="","",IF(G43&lt;0,"⚠️ NEGATIVO",IF(G43=0,"⛔ ZERADO",IF(G43&lt;5,"📦 BAIXO","✅ OK"))))</f>
        <v/>
      </c>
    </row>
    <row r="44" ht="18" customHeight="1" s="109">
      <c r="A44" s="12" t="n"/>
      <c r="B44" s="12" t="n"/>
      <c r="C44" s="12" t="n"/>
      <c r="D44" s="46" t="n"/>
      <c r="E44" s="46" t="n"/>
      <c r="F44" s="46" t="n"/>
      <c r="G44" s="77">
        <f>IF(A44="","",D44-E44-F44)</f>
        <v/>
      </c>
      <c r="H44" s="79">
        <f>IF(A44="","",IF(G44&lt;0,"⚠️ NEGATIVO",IF(G44=0,"⛔ ZERADO",IF(G44&lt;5,"📦 BAIXO","✅ OK"))))</f>
        <v/>
      </c>
    </row>
    <row r="45" ht="18" customHeight="1" s="109">
      <c r="A45" s="8" t="n"/>
      <c r="B45" s="8" t="n"/>
      <c r="C45" s="8" t="n"/>
      <c r="D45" s="33" t="n"/>
      <c r="E45" s="33" t="n"/>
      <c r="F45" s="33" t="n"/>
      <c r="G45" s="77">
        <f>IF(A45="","",D45-E45-F45)</f>
        <v/>
      </c>
      <c r="H45" s="78">
        <f>IF(A45="","",IF(G45&lt;0,"⚠️ NEGATIVO",IF(G45=0,"⛔ ZERADO",IF(G45&lt;5,"📦 BAIXO","✅ OK"))))</f>
        <v/>
      </c>
    </row>
    <row r="46" ht="18" customHeight="1" s="109">
      <c r="A46" s="12" t="n"/>
      <c r="B46" s="12" t="n"/>
      <c r="C46" s="12" t="n"/>
      <c r="D46" s="46" t="n"/>
      <c r="E46" s="46" t="n"/>
      <c r="F46" s="46" t="n"/>
      <c r="G46" s="77">
        <f>IF(A46="","",D46-E46-F46)</f>
        <v/>
      </c>
      <c r="H46" s="79">
        <f>IF(A46="","",IF(G46&lt;0,"⚠️ NEGATIVO",IF(G46=0,"⛔ ZERADO",IF(G46&lt;5,"📦 BAIXO","✅ OK"))))</f>
        <v/>
      </c>
    </row>
    <row r="47" ht="18" customHeight="1" s="109">
      <c r="A47" s="8" t="n"/>
      <c r="B47" s="8" t="n"/>
      <c r="C47" s="8" t="n"/>
      <c r="D47" s="33" t="n"/>
      <c r="E47" s="33" t="n"/>
      <c r="F47" s="33" t="n"/>
      <c r="G47" s="77">
        <f>IF(A47="","",D47-E47-F47)</f>
        <v/>
      </c>
      <c r="H47" s="78">
        <f>IF(A47="","",IF(G47&lt;0,"⚠️ NEGATIVO",IF(G47=0,"⛔ ZERADO",IF(G47&lt;5,"📦 BAIXO","✅ OK"))))</f>
        <v/>
      </c>
    </row>
    <row r="48" ht="18" customHeight="1" s="109">
      <c r="A48" s="12" t="n"/>
      <c r="B48" s="12" t="n"/>
      <c r="C48" s="12" t="n"/>
      <c r="D48" s="46" t="n"/>
      <c r="E48" s="46" t="n"/>
      <c r="F48" s="46" t="n"/>
      <c r="G48" s="77">
        <f>IF(A48="","",D48-E48-F48)</f>
        <v/>
      </c>
      <c r="H48" s="79">
        <f>IF(A48="","",IF(G48&lt;0,"⚠️ NEGATIVO",IF(G48=0,"⛔ ZERADO",IF(G48&lt;5,"📦 BAIXO","✅ OK"))))</f>
        <v/>
      </c>
    </row>
    <row r="49" ht="18" customHeight="1" s="109">
      <c r="A49" s="8" t="n"/>
      <c r="B49" s="8" t="n"/>
      <c r="C49" s="8" t="n"/>
      <c r="D49" s="33" t="n"/>
      <c r="E49" s="33" t="n"/>
      <c r="F49" s="33" t="n"/>
      <c r="G49" s="77">
        <f>IF(A49="","",D49-E49-F49)</f>
        <v/>
      </c>
      <c r="H49" s="78">
        <f>IF(A49="","",IF(G49&lt;0,"⚠️ NEGATIVO",IF(G49=0,"⛔ ZERADO",IF(G49&lt;5,"📦 BAIXO","✅ OK"))))</f>
        <v/>
      </c>
    </row>
    <row r="50" ht="18" customHeight="1" s="109">
      <c r="A50" s="12" t="n"/>
      <c r="B50" s="12" t="n"/>
      <c r="C50" s="12" t="n"/>
      <c r="D50" s="46" t="n"/>
      <c r="E50" s="46" t="n"/>
      <c r="F50" s="46" t="n"/>
      <c r="G50" s="77">
        <f>IF(A50="","",D50-E50-F50)</f>
        <v/>
      </c>
      <c r="H50" s="79">
        <f>IF(A50="","",IF(G50&lt;0,"⚠️ NEGATIVO",IF(G50=0,"⛔ ZERADO",IF(G50&lt;5,"📦 BAIXO","✅ OK"))))</f>
        <v/>
      </c>
    </row>
    <row r="51" ht="18" customHeight="1" s="109">
      <c r="A51" s="8" t="n"/>
      <c r="B51" s="8" t="n"/>
      <c r="C51" s="8" t="n"/>
      <c r="D51" s="33" t="n"/>
      <c r="E51" s="33" t="n"/>
      <c r="F51" s="33" t="n"/>
      <c r="G51" s="77">
        <f>IF(A51="","",D51-E51-F51)</f>
        <v/>
      </c>
      <c r="H51" s="78">
        <f>IF(A51="","",IF(G51&lt;0,"⚠️ NEGATIVO",IF(G51=0,"⛔ ZERADO",IF(G51&lt;5,"📦 BAIXO","✅ OK"))))</f>
        <v/>
      </c>
    </row>
    <row r="52" ht="18" customHeight="1" s="109">
      <c r="A52" s="12" t="n"/>
      <c r="B52" s="12" t="n"/>
      <c r="C52" s="12" t="n"/>
      <c r="D52" s="46" t="n"/>
      <c r="E52" s="46" t="n"/>
      <c r="F52" s="46" t="n"/>
      <c r="G52" s="77">
        <f>IF(A52="","",D52-E52-F52)</f>
        <v/>
      </c>
      <c r="H52" s="79">
        <f>IF(A52="","",IF(G52&lt;0,"⚠️ NEGATIVO",IF(G52=0,"⛔ ZERADO",IF(G52&lt;5,"📦 BAIXO","✅ OK"))))</f>
        <v/>
      </c>
    </row>
    <row r="53" ht="18" customHeight="1" s="109">
      <c r="A53" s="8" t="n"/>
      <c r="B53" s="8" t="n"/>
      <c r="C53" s="8" t="n"/>
      <c r="D53" s="33" t="n"/>
      <c r="E53" s="33" t="n"/>
      <c r="F53" s="33" t="n"/>
      <c r="G53" s="77">
        <f>IF(A53="","",D53-E53-F53)</f>
        <v/>
      </c>
      <c r="H53" s="78">
        <f>IF(A53="","",IF(G53&lt;0,"⚠️ NEGATIVO",IF(G53=0,"⛔ ZERADO",IF(G53&lt;5,"📦 BAIXO","✅ OK"))))</f>
        <v/>
      </c>
    </row>
    <row r="54" ht="18" customHeight="1" s="109">
      <c r="A54" s="12" t="n"/>
      <c r="B54" s="12" t="n"/>
      <c r="C54" s="12" t="n"/>
      <c r="D54" s="46" t="n"/>
      <c r="E54" s="46" t="n"/>
      <c r="F54" s="46" t="n"/>
      <c r="G54" s="77">
        <f>IF(A54="","",D54-E54-F54)</f>
        <v/>
      </c>
      <c r="H54" s="79">
        <f>IF(A54="","",IF(G54&lt;0,"⚠️ NEGATIVO",IF(G54=0,"⛔ ZERADO",IF(G54&lt;5,"📦 BAIXO","✅ OK"))))</f>
        <v/>
      </c>
    </row>
    <row r="55" ht="18" customHeight="1" s="109">
      <c r="A55" s="8" t="n"/>
      <c r="B55" s="8" t="n"/>
      <c r="C55" s="8" t="n"/>
      <c r="D55" s="33" t="n"/>
      <c r="E55" s="33" t="n"/>
      <c r="F55" s="33" t="n"/>
      <c r="G55" s="77">
        <f>IF(A55="","",D55-E55-F55)</f>
        <v/>
      </c>
      <c r="H55" s="78">
        <f>IF(A55="","",IF(G55&lt;0,"⚠️ NEGATIVO",IF(G55=0,"⛔ ZERADO",IF(G55&lt;5,"📦 BAIXO","✅ OK"))))</f>
        <v/>
      </c>
    </row>
    <row r="56" ht="18" customHeight="1" s="109">
      <c r="A56" s="12" t="n"/>
      <c r="B56" s="12" t="n"/>
      <c r="C56" s="12" t="n"/>
      <c r="D56" s="46" t="n"/>
      <c r="E56" s="46" t="n"/>
      <c r="F56" s="46" t="n"/>
      <c r="G56" s="77">
        <f>IF(A56="","",D56-E56-F56)</f>
        <v/>
      </c>
      <c r="H56" s="79">
        <f>IF(A56="","",IF(G56&lt;0,"⚠️ NEGATIVO",IF(G56=0,"⛔ ZERADO",IF(G56&lt;5,"📦 BAIXO","✅ OK"))))</f>
        <v/>
      </c>
    </row>
    <row r="57" ht="18" customHeight="1" s="109">
      <c r="A57" s="8" t="n"/>
      <c r="B57" s="8" t="n"/>
      <c r="C57" s="8" t="n"/>
      <c r="D57" s="33" t="n"/>
      <c r="E57" s="33" t="n"/>
      <c r="F57" s="33" t="n"/>
      <c r="G57" s="77">
        <f>IF(A57="","",D57-E57-F57)</f>
        <v/>
      </c>
      <c r="H57" s="78">
        <f>IF(A57="","",IF(G57&lt;0,"⚠️ NEGATIVO",IF(G57=0,"⛔ ZERADO",IF(G57&lt;5,"📦 BAIXO","✅ OK"))))</f>
        <v/>
      </c>
    </row>
    <row r="58" ht="18" customHeight="1" s="109">
      <c r="A58" s="12" t="n"/>
      <c r="B58" s="12" t="n"/>
      <c r="C58" s="12" t="n"/>
      <c r="D58" s="46" t="n"/>
      <c r="E58" s="46" t="n"/>
      <c r="F58" s="46" t="n"/>
      <c r="G58" s="77">
        <f>IF(A58="","",D58-E58-F58)</f>
        <v/>
      </c>
      <c r="H58" s="79">
        <f>IF(A58="","",IF(G58&lt;0,"⚠️ NEGATIVO",IF(G58=0,"⛔ ZERADO",IF(G58&lt;5,"📦 BAIXO","✅ OK"))))</f>
        <v/>
      </c>
    </row>
    <row r="59" ht="18" customHeight="1" s="109">
      <c r="A59" s="8" t="n"/>
      <c r="B59" s="8" t="n"/>
      <c r="C59" s="8" t="n"/>
      <c r="D59" s="33" t="n"/>
      <c r="E59" s="33" t="n"/>
      <c r="F59" s="33" t="n"/>
      <c r="G59" s="77">
        <f>IF(A59="","",D59-E59-F59)</f>
        <v/>
      </c>
      <c r="H59" s="78">
        <f>IF(A59="","",IF(G59&lt;0,"⚠️ NEGATIVO",IF(G59=0,"⛔ ZERADO",IF(G59&lt;5,"📦 BAIXO","✅ OK"))))</f>
        <v/>
      </c>
    </row>
    <row r="60" ht="18" customHeight="1" s="109">
      <c r="A60" s="12" t="n"/>
      <c r="B60" s="12" t="n"/>
      <c r="C60" s="12" t="n"/>
      <c r="D60" s="46" t="n"/>
      <c r="E60" s="46" t="n"/>
      <c r="F60" s="46" t="n"/>
      <c r="G60" s="77">
        <f>IF(A60="","",D60-E60-F60)</f>
        <v/>
      </c>
      <c r="H60" s="79">
        <f>IF(A60="","",IF(G60&lt;0,"⚠️ NEGATIVO",IF(G60=0,"⛔ ZERADO",IF(G60&lt;5,"📦 BAIXO","✅ OK"))))</f>
        <v/>
      </c>
    </row>
    <row r="61" ht="18" customHeight="1" s="109">
      <c r="A61" s="8" t="n"/>
      <c r="B61" s="8" t="n"/>
      <c r="C61" s="8" t="n"/>
      <c r="D61" s="33" t="n"/>
      <c r="E61" s="33" t="n"/>
      <c r="F61" s="33" t="n"/>
      <c r="G61" s="77">
        <f>IF(A61="","",D61-E61-F61)</f>
        <v/>
      </c>
      <c r="H61" s="78">
        <f>IF(A61="","",IF(G61&lt;0,"⚠️ NEGATIVO",IF(G61=0,"⛔ ZERADO",IF(G61&lt;5,"📦 BAIXO","✅ OK"))))</f>
        <v/>
      </c>
    </row>
    <row r="62" ht="18" customHeight="1" s="109">
      <c r="A62" s="12" t="n"/>
      <c r="B62" s="12" t="n"/>
      <c r="C62" s="12" t="n"/>
      <c r="D62" s="46" t="n"/>
      <c r="E62" s="46" t="n"/>
      <c r="F62" s="46" t="n"/>
      <c r="G62" s="77">
        <f>IF(A62="","",D62-E62-F62)</f>
        <v/>
      </c>
      <c r="H62" s="79">
        <f>IF(A62="","",IF(G62&lt;0,"⚠️ NEGATIVO",IF(G62=0,"⛔ ZERADO",IF(G62&lt;5,"📦 BAIXO","✅ OK"))))</f>
        <v/>
      </c>
    </row>
    <row r="63" ht="18" customHeight="1" s="109">
      <c r="A63" s="8" t="n"/>
      <c r="B63" s="8" t="n"/>
      <c r="C63" s="8" t="n"/>
      <c r="D63" s="33" t="n"/>
      <c r="E63" s="33" t="n"/>
      <c r="F63" s="33" t="n"/>
      <c r="G63" s="77">
        <f>IF(A63="","",D63-E63-F63)</f>
        <v/>
      </c>
      <c r="H63" s="78">
        <f>IF(A63="","",IF(G63&lt;0,"⚠️ NEGATIVO",IF(G63=0,"⛔ ZERADO",IF(G63&lt;5,"📦 BAIXO","✅ OK"))))</f>
        <v/>
      </c>
    </row>
    <row r="64" ht="18" customHeight="1" s="109">
      <c r="A64" s="12" t="n"/>
      <c r="B64" s="12" t="n"/>
      <c r="C64" s="12" t="n"/>
      <c r="D64" s="46" t="n"/>
      <c r="E64" s="46" t="n"/>
      <c r="F64" s="46" t="n"/>
      <c r="G64" s="77">
        <f>IF(A64="","",D64-E64-F64)</f>
        <v/>
      </c>
      <c r="H64" s="79">
        <f>IF(A64="","",IF(G64&lt;0,"⚠️ NEGATIVO",IF(G64=0,"⛔ ZERADO",IF(G64&lt;5,"📦 BAIXO","✅ OK"))))</f>
        <v/>
      </c>
    </row>
    <row r="65" ht="18" customHeight="1" s="109">
      <c r="A65" s="8" t="n"/>
      <c r="B65" s="8" t="n"/>
      <c r="C65" s="8" t="n"/>
      <c r="D65" s="33" t="n"/>
      <c r="E65" s="33" t="n"/>
      <c r="F65" s="33" t="n"/>
      <c r="G65" s="77">
        <f>IF(A65="","",D65-E65-F65)</f>
        <v/>
      </c>
      <c r="H65" s="78">
        <f>IF(A65="","",IF(G65&lt;0,"⚠️ NEGATIVO",IF(G65=0,"⛔ ZERADO",IF(G65&lt;5,"📦 BAIXO","✅ OK"))))</f>
        <v/>
      </c>
    </row>
    <row r="66" ht="18" customHeight="1" s="109">
      <c r="A66" s="12" t="n"/>
      <c r="B66" s="12" t="n"/>
      <c r="C66" s="12" t="n"/>
      <c r="D66" s="46" t="n"/>
      <c r="E66" s="46" t="n"/>
      <c r="F66" s="46" t="n"/>
      <c r="G66" s="77">
        <f>IF(A66="","",D66-E66-F66)</f>
        <v/>
      </c>
      <c r="H66" s="79">
        <f>IF(A66="","",IF(G66&lt;0,"⚠️ NEGATIVO",IF(G66=0,"⛔ ZERADO",IF(G66&lt;5,"📦 BAIXO","✅ OK"))))</f>
        <v/>
      </c>
    </row>
    <row r="67" ht="18" customHeight="1" s="109">
      <c r="A67" s="8" t="n"/>
      <c r="B67" s="8" t="n"/>
      <c r="C67" s="8" t="n"/>
      <c r="D67" s="33" t="n"/>
      <c r="E67" s="33" t="n"/>
      <c r="F67" s="33" t="n"/>
      <c r="G67" s="77">
        <f>IF(A67="","",D67-E67-F67)</f>
        <v/>
      </c>
      <c r="H67" s="78">
        <f>IF(A67="","",IF(G67&lt;0,"⚠️ NEGATIVO",IF(G67=0,"⛔ ZERADO",IF(G67&lt;5,"📦 BAIXO","✅ OK"))))</f>
        <v/>
      </c>
    </row>
    <row r="68" ht="18" customHeight="1" s="109">
      <c r="A68" s="12" t="n"/>
      <c r="B68" s="12" t="n"/>
      <c r="C68" s="12" t="n"/>
      <c r="D68" s="46" t="n"/>
      <c r="E68" s="46" t="n"/>
      <c r="F68" s="46" t="n"/>
      <c r="G68" s="77">
        <f>IF(A68="","",D68-E68-F68)</f>
        <v/>
      </c>
      <c r="H68" s="79">
        <f>IF(A68="","",IF(G68&lt;0,"⚠️ NEGATIVO",IF(G68=0,"⛔ ZERADO",IF(G68&lt;5,"📦 BAIXO","✅ OK"))))</f>
        <v/>
      </c>
    </row>
    <row r="69" ht="18" customHeight="1" s="109">
      <c r="A69" s="8" t="n"/>
      <c r="B69" s="8" t="n"/>
      <c r="C69" s="8" t="n"/>
      <c r="D69" s="33" t="n"/>
      <c r="E69" s="33" t="n"/>
      <c r="F69" s="33" t="n"/>
      <c r="G69" s="77">
        <f>IF(A69="","",D69-E69-F69)</f>
        <v/>
      </c>
      <c r="H69" s="78">
        <f>IF(A69="","",IF(G69&lt;0,"⚠️ NEGATIVO",IF(G69=0,"⛔ ZERADO",IF(G69&lt;5,"📦 BAIXO","✅ OK"))))</f>
        <v/>
      </c>
    </row>
    <row r="70" ht="18" customHeight="1" s="109">
      <c r="A70" s="12" t="n"/>
      <c r="B70" s="12" t="n"/>
      <c r="C70" s="12" t="n"/>
      <c r="D70" s="46" t="n"/>
      <c r="E70" s="46" t="n"/>
      <c r="F70" s="46" t="n"/>
      <c r="G70" s="77">
        <f>IF(A70="","",D70-E70-F70)</f>
        <v/>
      </c>
      <c r="H70" s="79">
        <f>IF(A70="","",IF(G70&lt;0,"⚠️ NEGATIVO",IF(G70=0,"⛔ ZERADO",IF(G70&lt;5,"📦 BAIXO","✅ OK"))))</f>
        <v/>
      </c>
    </row>
    <row r="71" ht="18" customHeight="1" s="109">
      <c r="A71" s="8" t="n"/>
      <c r="B71" s="8" t="n"/>
      <c r="C71" s="8" t="n"/>
      <c r="D71" s="33" t="n"/>
      <c r="E71" s="33" t="n"/>
      <c r="F71" s="33" t="n"/>
      <c r="G71" s="77">
        <f>IF(A71="","",D71-E71-F71)</f>
        <v/>
      </c>
      <c r="H71" s="78">
        <f>IF(A71="","",IF(G71&lt;0,"⚠️ NEGATIVO",IF(G71=0,"⛔ ZERADO",IF(G71&lt;5,"📦 BAIXO","✅ OK"))))</f>
        <v/>
      </c>
    </row>
    <row r="72" ht="18" customHeight="1" s="109">
      <c r="A72" s="12" t="n"/>
      <c r="B72" s="12" t="n"/>
      <c r="C72" s="12" t="n"/>
      <c r="D72" s="46" t="n"/>
      <c r="E72" s="46" t="n"/>
      <c r="F72" s="46" t="n"/>
      <c r="G72" s="77">
        <f>IF(A72="","",D72-E72-F72)</f>
        <v/>
      </c>
      <c r="H72" s="79">
        <f>IF(A72="","",IF(G72&lt;0,"⚠️ NEGATIVO",IF(G72=0,"⛔ ZERADO",IF(G72&lt;5,"📦 BAIXO","✅ OK"))))</f>
        <v/>
      </c>
    </row>
    <row r="73" ht="18" customHeight="1" s="109">
      <c r="A73" s="8" t="n"/>
      <c r="B73" s="8" t="n"/>
      <c r="C73" s="8" t="n"/>
      <c r="D73" s="33" t="n"/>
      <c r="E73" s="33" t="n"/>
      <c r="F73" s="33" t="n"/>
      <c r="G73" s="77">
        <f>IF(A73="","",D73-E73-F73)</f>
        <v/>
      </c>
      <c r="H73" s="78">
        <f>IF(A73="","",IF(G73&lt;0,"⚠️ NEGATIVO",IF(G73=0,"⛔ ZERADO",IF(G73&lt;5,"📦 BAIXO","✅ OK"))))</f>
        <v/>
      </c>
    </row>
    <row r="74" ht="18" customHeight="1" s="109">
      <c r="A74" s="12" t="n"/>
      <c r="B74" s="12" t="n"/>
      <c r="C74" s="12" t="n"/>
      <c r="D74" s="46" t="n"/>
      <c r="E74" s="46" t="n"/>
      <c r="F74" s="46" t="n"/>
      <c r="G74" s="77">
        <f>IF(A74="","",D74-E74-F74)</f>
        <v/>
      </c>
      <c r="H74" s="79">
        <f>IF(A74="","",IF(G74&lt;0,"⚠️ NEGATIVO",IF(G74=0,"⛔ ZERADO",IF(G74&lt;5,"📦 BAIXO","✅ OK"))))</f>
        <v/>
      </c>
    </row>
    <row r="75" ht="18" customHeight="1" s="109">
      <c r="A75" s="8" t="n"/>
      <c r="B75" s="8" t="n"/>
      <c r="C75" s="8" t="n"/>
      <c r="D75" s="33" t="n"/>
      <c r="E75" s="33" t="n"/>
      <c r="F75" s="33" t="n"/>
      <c r="G75" s="77">
        <f>IF(A75="","",D75-E75-F75)</f>
        <v/>
      </c>
      <c r="H75" s="78">
        <f>IF(A75="","",IF(G75&lt;0,"⚠️ NEGATIVO",IF(G75=0,"⛔ ZERADO",IF(G75&lt;5,"📦 BAIXO","✅ OK"))))</f>
        <v/>
      </c>
    </row>
    <row r="76" ht="18" customHeight="1" s="109">
      <c r="A76" s="12" t="n"/>
      <c r="B76" s="12" t="n"/>
      <c r="C76" s="12" t="n"/>
      <c r="D76" s="46" t="n"/>
      <c r="E76" s="46" t="n"/>
      <c r="F76" s="46" t="n"/>
      <c r="G76" s="77">
        <f>IF(A76="","",D76-E76-F76)</f>
        <v/>
      </c>
      <c r="H76" s="79">
        <f>IF(A76="","",IF(G76&lt;0,"⚠️ NEGATIVO",IF(G76=0,"⛔ ZERADO",IF(G76&lt;5,"📦 BAIXO","✅ OK"))))</f>
        <v/>
      </c>
    </row>
    <row r="77" ht="18" customHeight="1" s="109">
      <c r="A77" s="8" t="n"/>
      <c r="B77" s="8" t="n"/>
      <c r="C77" s="8" t="n"/>
      <c r="D77" s="33" t="n"/>
      <c r="E77" s="33" t="n"/>
      <c r="F77" s="33" t="n"/>
      <c r="G77" s="77">
        <f>IF(A77="","",D77-E77-F77)</f>
        <v/>
      </c>
      <c r="H77" s="78">
        <f>IF(A77="","",IF(G77&lt;0,"⚠️ NEGATIVO",IF(G77=0,"⛔ ZERADO",IF(G77&lt;5,"📦 BAIXO","✅ OK"))))</f>
        <v/>
      </c>
    </row>
    <row r="78" ht="18" customHeight="1" s="109">
      <c r="A78" s="12" t="n"/>
      <c r="B78" s="12" t="n"/>
      <c r="C78" s="12" t="n"/>
      <c r="D78" s="46" t="n"/>
      <c r="E78" s="46" t="n"/>
      <c r="F78" s="46" t="n"/>
      <c r="G78" s="77">
        <f>IF(A78="","",D78-E78-F78)</f>
        <v/>
      </c>
      <c r="H78" s="79">
        <f>IF(A78="","",IF(G78&lt;0,"⚠️ NEGATIVO",IF(G78=0,"⛔ ZERADO",IF(G78&lt;5,"📦 BAIXO","✅ OK"))))</f>
        <v/>
      </c>
    </row>
    <row r="79" ht="18" customHeight="1" s="109">
      <c r="A79" s="8" t="n"/>
      <c r="B79" s="8" t="n"/>
      <c r="C79" s="8" t="n"/>
      <c r="D79" s="33" t="n"/>
      <c r="E79" s="33" t="n"/>
      <c r="F79" s="33" t="n"/>
      <c r="G79" s="77">
        <f>IF(A79="","",D79-E79-F79)</f>
        <v/>
      </c>
      <c r="H79" s="78">
        <f>IF(A79="","",IF(G79&lt;0,"⚠️ NEGATIVO",IF(G79=0,"⛔ ZERADO",IF(G79&lt;5,"📦 BAIXO","✅ OK"))))</f>
        <v/>
      </c>
    </row>
    <row r="80" ht="18" customHeight="1" s="109">
      <c r="A80" s="12" t="n"/>
      <c r="B80" s="12" t="n"/>
      <c r="C80" s="12" t="n"/>
      <c r="D80" s="46" t="n"/>
      <c r="E80" s="46" t="n"/>
      <c r="F80" s="46" t="n"/>
      <c r="G80" s="77">
        <f>IF(A80="","",D80-E80-F80)</f>
        <v/>
      </c>
      <c r="H80" s="79">
        <f>IF(A80="","",IF(G80&lt;0,"⚠️ NEGATIVO",IF(G80=0,"⛔ ZERADO",IF(G80&lt;5,"📦 BAIXO","✅ OK"))))</f>
        <v/>
      </c>
    </row>
    <row r="81" ht="18" customHeight="1" s="109">
      <c r="A81" s="8" t="n"/>
      <c r="B81" s="8" t="n"/>
      <c r="C81" s="8" t="n"/>
      <c r="D81" s="33" t="n"/>
      <c r="E81" s="33" t="n"/>
      <c r="F81" s="33" t="n"/>
      <c r="G81" s="77">
        <f>IF(A81="","",D81-E81-F81)</f>
        <v/>
      </c>
      <c r="H81" s="78">
        <f>IF(A81="","",IF(G81&lt;0,"⚠️ NEGATIVO",IF(G81=0,"⛔ ZERADO",IF(G81&lt;5,"📦 BAIXO","✅ OK"))))</f>
        <v/>
      </c>
    </row>
    <row r="82" ht="18" customHeight="1" s="109">
      <c r="A82" s="12" t="n"/>
      <c r="B82" s="12" t="n"/>
      <c r="C82" s="12" t="n"/>
      <c r="D82" s="46" t="n"/>
      <c r="E82" s="46" t="n"/>
      <c r="F82" s="46" t="n"/>
      <c r="G82" s="77">
        <f>IF(A82="","",D82-E82-F82)</f>
        <v/>
      </c>
      <c r="H82" s="79">
        <f>IF(A82="","",IF(G82&lt;0,"⚠️ NEGATIVO",IF(G82=0,"⛔ ZERADO",IF(G82&lt;5,"📦 BAIXO","✅ OK"))))</f>
        <v/>
      </c>
    </row>
    <row r="83" ht="18" customHeight="1" s="109">
      <c r="A83" s="8" t="n"/>
      <c r="B83" s="8" t="n"/>
      <c r="C83" s="8" t="n"/>
      <c r="D83" s="33" t="n"/>
      <c r="E83" s="33" t="n"/>
      <c r="F83" s="33" t="n"/>
      <c r="G83" s="77">
        <f>IF(A83="","",D83-E83-F83)</f>
        <v/>
      </c>
      <c r="H83" s="78">
        <f>IF(A83="","",IF(G83&lt;0,"⚠️ NEGATIVO",IF(G83=0,"⛔ ZERADO",IF(G83&lt;5,"📦 BAIXO","✅ OK"))))</f>
        <v/>
      </c>
    </row>
    <row r="84" ht="18" customHeight="1" s="109">
      <c r="A84" s="12" t="n"/>
      <c r="B84" s="12" t="n"/>
      <c r="C84" s="12" t="n"/>
      <c r="D84" s="46" t="n"/>
      <c r="E84" s="46" t="n"/>
      <c r="F84" s="46" t="n"/>
      <c r="G84" s="77">
        <f>IF(A84="","",D84-E84-F84)</f>
        <v/>
      </c>
      <c r="H84" s="79">
        <f>IF(A84="","",IF(G84&lt;0,"⚠️ NEGATIVO",IF(G84=0,"⛔ ZERADO",IF(G84&lt;5,"📦 BAIXO","✅ OK"))))</f>
        <v/>
      </c>
    </row>
    <row r="85" ht="18" customHeight="1" s="109">
      <c r="A85" s="8" t="n"/>
      <c r="B85" s="8" t="n"/>
      <c r="C85" s="8" t="n"/>
      <c r="D85" s="33" t="n"/>
      <c r="E85" s="33" t="n"/>
      <c r="F85" s="33" t="n"/>
      <c r="G85" s="77">
        <f>IF(A85="","",D85-E85-F85)</f>
        <v/>
      </c>
      <c r="H85" s="78">
        <f>IF(A85="","",IF(G85&lt;0,"⚠️ NEGATIVO",IF(G85=0,"⛔ ZERADO",IF(G85&lt;5,"📦 BAIXO","✅ OK"))))</f>
        <v/>
      </c>
    </row>
    <row r="86" ht="18" customHeight="1" s="109">
      <c r="A86" s="12" t="n"/>
      <c r="B86" s="12" t="n"/>
      <c r="C86" s="12" t="n"/>
      <c r="D86" s="46" t="n"/>
      <c r="E86" s="46" t="n"/>
      <c r="F86" s="46" t="n"/>
      <c r="G86" s="77">
        <f>IF(A86="","",D86-E86-F86)</f>
        <v/>
      </c>
      <c r="H86" s="79">
        <f>IF(A86="","",IF(G86&lt;0,"⚠️ NEGATIVO",IF(G86=0,"⛔ ZERADO",IF(G86&lt;5,"📦 BAIXO","✅ OK"))))</f>
        <v/>
      </c>
    </row>
    <row r="87" ht="18" customHeight="1" s="109">
      <c r="A87" s="8" t="n"/>
      <c r="B87" s="8" t="n"/>
      <c r="C87" s="8" t="n"/>
      <c r="D87" s="33" t="n"/>
      <c r="E87" s="33" t="n"/>
      <c r="F87" s="33" t="n"/>
      <c r="G87" s="77">
        <f>IF(A87="","",D87-E87-F87)</f>
        <v/>
      </c>
      <c r="H87" s="78">
        <f>IF(A87="","",IF(G87&lt;0,"⚠️ NEGATIVO",IF(G87=0,"⛔ ZERADO",IF(G87&lt;5,"📦 BAIXO","✅ OK"))))</f>
        <v/>
      </c>
    </row>
    <row r="88" ht="18" customHeight="1" s="109">
      <c r="A88" s="12" t="n"/>
      <c r="B88" s="12" t="n"/>
      <c r="C88" s="12" t="n"/>
      <c r="D88" s="46" t="n"/>
      <c r="E88" s="46" t="n"/>
      <c r="F88" s="46" t="n"/>
      <c r="G88" s="77">
        <f>IF(A88="","",D88-E88-F88)</f>
        <v/>
      </c>
      <c r="H88" s="79">
        <f>IF(A88="","",IF(G88&lt;0,"⚠️ NEGATIVO",IF(G88=0,"⛔ ZERADO",IF(G88&lt;5,"📦 BAIXO","✅ OK"))))</f>
        <v/>
      </c>
    </row>
    <row r="89" ht="18" customHeight="1" s="109">
      <c r="A89" s="8" t="n"/>
      <c r="B89" s="8" t="n"/>
      <c r="C89" s="8" t="n"/>
      <c r="D89" s="33" t="n"/>
      <c r="E89" s="33" t="n"/>
      <c r="F89" s="33" t="n"/>
      <c r="G89" s="77">
        <f>IF(A89="","",D89-E89-F89)</f>
        <v/>
      </c>
      <c r="H89" s="78">
        <f>IF(A89="","",IF(G89&lt;0,"⚠️ NEGATIVO",IF(G89=0,"⛔ ZERADO",IF(G89&lt;5,"📦 BAIXO","✅ OK"))))</f>
        <v/>
      </c>
    </row>
    <row r="90" ht="18" customHeight="1" s="109">
      <c r="A90" s="12" t="n"/>
      <c r="B90" s="12" t="n"/>
      <c r="C90" s="12" t="n"/>
      <c r="D90" s="46" t="n"/>
      <c r="E90" s="46" t="n"/>
      <c r="F90" s="46" t="n"/>
      <c r="G90" s="77">
        <f>IF(A90="","",D90-E90-F90)</f>
        <v/>
      </c>
      <c r="H90" s="79">
        <f>IF(A90="","",IF(G90&lt;0,"⚠️ NEGATIVO",IF(G90=0,"⛔ ZERADO",IF(G90&lt;5,"📦 BAIXO","✅ OK"))))</f>
        <v/>
      </c>
    </row>
    <row r="91" ht="18" customHeight="1" s="109">
      <c r="A91" s="8" t="n"/>
      <c r="B91" s="8" t="n"/>
      <c r="C91" s="8" t="n"/>
      <c r="D91" s="33" t="n"/>
      <c r="E91" s="33" t="n"/>
      <c r="F91" s="33" t="n"/>
      <c r="G91" s="77">
        <f>IF(A91="","",D91-E91-F91)</f>
        <v/>
      </c>
      <c r="H91" s="78">
        <f>IF(A91="","",IF(G91&lt;0,"⚠️ NEGATIVO",IF(G91=0,"⛔ ZERADO",IF(G91&lt;5,"📦 BAIXO","✅ OK"))))</f>
        <v/>
      </c>
    </row>
    <row r="92" ht="18" customHeight="1" s="109">
      <c r="A92" s="12" t="n"/>
      <c r="B92" s="12" t="n"/>
      <c r="C92" s="12" t="n"/>
      <c r="D92" s="46" t="n"/>
      <c r="E92" s="46" t="n"/>
      <c r="F92" s="46" t="n"/>
      <c r="G92" s="77">
        <f>IF(A92="","",D92-E92-F92)</f>
        <v/>
      </c>
      <c r="H92" s="79">
        <f>IF(A92="","",IF(G92&lt;0,"⚠️ NEGATIVO",IF(G92=0,"⛔ ZERADO",IF(G92&lt;5,"📦 BAIXO","✅ OK"))))</f>
        <v/>
      </c>
    </row>
    <row r="93" ht="18" customHeight="1" s="109">
      <c r="A93" s="8" t="n"/>
      <c r="B93" s="8" t="n"/>
      <c r="C93" s="8" t="n"/>
      <c r="D93" s="33" t="n"/>
      <c r="E93" s="33" t="n"/>
      <c r="F93" s="33" t="n"/>
      <c r="G93" s="77">
        <f>IF(A93="","",D93-E93-F93)</f>
        <v/>
      </c>
      <c r="H93" s="78">
        <f>IF(A93="","",IF(G93&lt;0,"⚠️ NEGATIVO",IF(G93=0,"⛔ ZERADO",IF(G93&lt;5,"📦 BAIXO","✅ OK"))))</f>
        <v/>
      </c>
    </row>
    <row r="94" ht="18" customHeight="1" s="109">
      <c r="A94" s="12" t="n"/>
      <c r="B94" s="12" t="n"/>
      <c r="C94" s="12" t="n"/>
      <c r="D94" s="46" t="n"/>
      <c r="E94" s="46" t="n"/>
      <c r="F94" s="46" t="n"/>
      <c r="G94" s="77">
        <f>IF(A94="","",D94-E94-F94)</f>
        <v/>
      </c>
      <c r="H94" s="79">
        <f>IF(A94="","",IF(G94&lt;0,"⚠️ NEGATIVO",IF(G94=0,"⛔ ZERADO",IF(G94&lt;5,"📦 BAIXO","✅ OK"))))</f>
        <v/>
      </c>
    </row>
    <row r="95" ht="18" customHeight="1" s="109">
      <c r="A95" s="8" t="n"/>
      <c r="B95" s="8" t="n"/>
      <c r="C95" s="8" t="n"/>
      <c r="D95" s="33" t="n"/>
      <c r="E95" s="33" t="n"/>
      <c r="F95" s="33" t="n"/>
      <c r="G95" s="77">
        <f>IF(A95="","",D95-E95-F95)</f>
        <v/>
      </c>
      <c r="H95" s="78">
        <f>IF(A95="","",IF(G95&lt;0,"⚠️ NEGATIVO",IF(G95=0,"⛔ ZERADO",IF(G95&lt;5,"📦 BAIXO","✅ OK"))))</f>
        <v/>
      </c>
    </row>
    <row r="96" ht="18" customHeight="1" s="109">
      <c r="A96" s="12" t="n"/>
      <c r="B96" s="12" t="n"/>
      <c r="C96" s="12" t="n"/>
      <c r="D96" s="46" t="n"/>
      <c r="E96" s="46" t="n"/>
      <c r="F96" s="46" t="n"/>
      <c r="G96" s="77">
        <f>IF(A96="","",D96-E96-F96)</f>
        <v/>
      </c>
      <c r="H96" s="79">
        <f>IF(A96="","",IF(G96&lt;0,"⚠️ NEGATIVO",IF(G96=0,"⛔ ZERADO",IF(G96&lt;5,"📦 BAIXO","✅ OK"))))</f>
        <v/>
      </c>
    </row>
    <row r="97" ht="18" customHeight="1" s="109">
      <c r="A97" s="8" t="n"/>
      <c r="B97" s="8" t="n"/>
      <c r="C97" s="8" t="n"/>
      <c r="D97" s="33" t="n"/>
      <c r="E97" s="33" t="n"/>
      <c r="F97" s="33" t="n"/>
      <c r="G97" s="77">
        <f>IF(A97="","",D97-E97-F97)</f>
        <v/>
      </c>
      <c r="H97" s="78">
        <f>IF(A97="","",IF(G97&lt;0,"⚠️ NEGATIVO",IF(G97=0,"⛔ ZERADO",IF(G97&lt;5,"📦 BAIXO","✅ OK"))))</f>
        <v/>
      </c>
    </row>
    <row r="98" ht="18" customHeight="1" s="109">
      <c r="A98" s="12" t="n"/>
      <c r="B98" s="12" t="n"/>
      <c r="C98" s="12" t="n"/>
      <c r="D98" s="46" t="n"/>
      <c r="E98" s="46" t="n"/>
      <c r="F98" s="46" t="n"/>
      <c r="G98" s="77">
        <f>IF(A98="","",D98-E98-F98)</f>
        <v/>
      </c>
      <c r="H98" s="79">
        <f>IF(A98="","",IF(G98&lt;0,"⚠️ NEGATIVO",IF(G98=0,"⛔ ZERADO",IF(G98&lt;5,"📦 BAIXO","✅ OK"))))</f>
        <v/>
      </c>
    </row>
    <row r="99" ht="18" customHeight="1" s="109">
      <c r="A99" s="8" t="n"/>
      <c r="B99" s="8" t="n"/>
      <c r="C99" s="8" t="n"/>
      <c r="D99" s="33" t="n"/>
      <c r="E99" s="33" t="n"/>
      <c r="F99" s="33" t="n"/>
      <c r="G99" s="77">
        <f>IF(A99="","",D99-E99-F99)</f>
        <v/>
      </c>
      <c r="H99" s="78">
        <f>IF(A99="","",IF(G99&lt;0,"⚠️ NEGATIVO",IF(G99=0,"⛔ ZERADO",IF(G99&lt;5,"📦 BAIXO","✅ OK"))))</f>
        <v/>
      </c>
    </row>
    <row r="100" ht="18" customHeight="1" s="109">
      <c r="A100" s="12" t="n"/>
      <c r="B100" s="12" t="n"/>
      <c r="C100" s="12" t="n"/>
      <c r="D100" s="46" t="n"/>
      <c r="E100" s="46" t="n"/>
      <c r="F100" s="46" t="n"/>
      <c r="G100" s="77">
        <f>IF(A100="","",D100-E100-F100)</f>
        <v/>
      </c>
      <c r="H100" s="79">
        <f>IF(A100="","",IF(G100&lt;0,"⚠️ NEGATIVO",IF(G100=0,"⛔ ZERADO",IF(G100&lt;5,"📦 BAIXO","✅ OK"))))</f>
        <v/>
      </c>
    </row>
    <row r="101" ht="18" customHeight="1" s="109">
      <c r="A101" s="8" t="n"/>
      <c r="B101" s="8" t="n"/>
      <c r="C101" s="8" t="n"/>
      <c r="D101" s="33" t="n"/>
      <c r="E101" s="33" t="n"/>
      <c r="F101" s="33" t="n"/>
      <c r="G101" s="77">
        <f>IF(A101="","",D101-E101-F101)</f>
        <v/>
      </c>
      <c r="H101" s="78">
        <f>IF(A101="","",IF(G101&lt;0,"⚠️ NEGATIVO",IF(G101=0,"⛔ ZERADO",IF(G101&lt;5,"📦 BAIXO","✅ OK"))))</f>
        <v/>
      </c>
    </row>
    <row r="102" ht="18" customHeight="1" s="109">
      <c r="A102" s="12" t="n"/>
      <c r="B102" s="12" t="n"/>
      <c r="C102" s="12" t="n"/>
      <c r="D102" s="46" t="n"/>
      <c r="E102" s="46" t="n"/>
      <c r="F102" s="46" t="n"/>
      <c r="G102" s="77">
        <f>IF(A102="","",D102-E102-F102)</f>
        <v/>
      </c>
      <c r="H102" s="79">
        <f>IF(A102="","",IF(G102&lt;0,"⚠️ NEGATIVO",IF(G102=0,"⛔ ZERADO",IF(G102&lt;5,"📦 BAIXO","✅ OK"))))</f>
        <v/>
      </c>
    </row>
    <row r="103" ht="18" customHeight="1" s="109">
      <c r="A103" s="8" t="n"/>
      <c r="B103" s="8" t="n"/>
      <c r="C103" s="8" t="n"/>
      <c r="D103" s="33" t="n"/>
      <c r="E103" s="33" t="n"/>
      <c r="F103" s="33" t="n"/>
      <c r="G103" s="77">
        <f>IF(A103="","",D103-E103-F103)</f>
        <v/>
      </c>
      <c r="H103" s="78">
        <f>IF(A103="","",IF(G103&lt;0,"⚠️ NEGATIVO",IF(G103=0,"⛔ ZERADO",IF(G103&lt;5,"📦 BAIXO","✅ OK"))))</f>
        <v/>
      </c>
    </row>
    <row r="104" ht="18" customHeight="1" s="109">
      <c r="A104" s="12" t="n"/>
      <c r="B104" s="12" t="n"/>
      <c r="C104" s="12" t="n"/>
      <c r="D104" s="46" t="n"/>
      <c r="E104" s="46" t="n"/>
      <c r="F104" s="46" t="n"/>
      <c r="G104" s="77">
        <f>IF(A104="","",D104-E104-F104)</f>
        <v/>
      </c>
      <c r="H104" s="79">
        <f>IF(A104="","",IF(G104&lt;0,"⚠️ NEGATIVO",IF(G104=0,"⛔ ZERADO",IF(G104&lt;5,"📦 BAIXO","✅ OK"))))</f>
        <v/>
      </c>
    </row>
    <row r="105" ht="18" customHeight="1" s="109">
      <c r="A105" s="8" t="n"/>
      <c r="B105" s="8" t="n"/>
      <c r="C105" s="8" t="n"/>
      <c r="D105" s="33" t="n"/>
      <c r="E105" s="33" t="n"/>
      <c r="F105" s="33" t="n"/>
      <c r="G105" s="77">
        <f>IF(A105="","",D105-E105-F105)</f>
        <v/>
      </c>
      <c r="H105" s="78">
        <f>IF(A105="","",IF(G105&lt;0,"⚠️ NEGATIVO",IF(G105=0,"⛔ ZERADO",IF(G105&lt;5,"📦 BAIXO","✅ OK"))))</f>
        <v/>
      </c>
    </row>
    <row r="106" ht="18" customHeight="1" s="109">
      <c r="A106" s="12" t="n"/>
      <c r="B106" s="12" t="n"/>
      <c r="C106" s="12" t="n"/>
      <c r="D106" s="46" t="n"/>
      <c r="E106" s="46" t="n"/>
      <c r="F106" s="46" t="n"/>
      <c r="G106" s="77">
        <f>IF(A106="","",D106-E106-F106)</f>
        <v/>
      </c>
      <c r="H106" s="79">
        <f>IF(A106="","",IF(G106&lt;0,"⚠️ NEGATIVO",IF(G106=0,"⛔ ZERADO",IF(G106&lt;5,"📦 BAIXO","✅ OK"))))</f>
        <v/>
      </c>
    </row>
    <row r="107" ht="18" customHeight="1" s="109">
      <c r="A107" s="8" t="n"/>
      <c r="B107" s="8" t="n"/>
      <c r="C107" s="8" t="n"/>
      <c r="D107" s="33" t="n"/>
      <c r="E107" s="33" t="n"/>
      <c r="F107" s="33" t="n"/>
      <c r="G107" s="77">
        <f>IF(A107="","",D107-E107-F107)</f>
        <v/>
      </c>
      <c r="H107" s="78">
        <f>IF(A107="","",IF(G107&lt;0,"⚠️ NEGATIVO",IF(G107=0,"⛔ ZERADO",IF(G107&lt;5,"📦 BAIXO","✅ OK"))))</f>
        <v/>
      </c>
    </row>
    <row r="108" ht="18" customHeight="1" s="109">
      <c r="A108" s="12" t="n"/>
      <c r="B108" s="12" t="n"/>
      <c r="C108" s="12" t="n"/>
      <c r="D108" s="46" t="n"/>
      <c r="E108" s="46" t="n"/>
      <c r="F108" s="46" t="n"/>
      <c r="G108" s="77">
        <f>IF(A108="","",D108-E108-F108)</f>
        <v/>
      </c>
      <c r="H108" s="79">
        <f>IF(A108="","",IF(G108&lt;0,"⚠️ NEGATIVO",IF(G108=0,"⛔ ZERADO",IF(G108&lt;5,"📦 BAIXO","✅ OK"))))</f>
        <v/>
      </c>
    </row>
    <row r="109" ht="18" customHeight="1" s="109">
      <c r="A109" s="8" t="n"/>
      <c r="B109" s="8" t="n"/>
      <c r="C109" s="8" t="n"/>
      <c r="D109" s="33" t="n"/>
      <c r="E109" s="33" t="n"/>
      <c r="F109" s="33" t="n"/>
      <c r="G109" s="77">
        <f>IF(A109="","",D109-E109-F109)</f>
        <v/>
      </c>
      <c r="H109" s="78">
        <f>IF(A109="","",IF(G109&lt;0,"⚠️ NEGATIVO",IF(G109=0,"⛔ ZERADO",IF(G109&lt;5,"📦 BAIXO","✅ OK"))))</f>
        <v/>
      </c>
    </row>
    <row r="110" ht="18" customHeight="1" s="109">
      <c r="A110" s="12" t="n"/>
      <c r="B110" s="12" t="n"/>
      <c r="C110" s="12" t="n"/>
      <c r="D110" s="46" t="n"/>
      <c r="E110" s="46" t="n"/>
      <c r="F110" s="46" t="n"/>
      <c r="G110" s="77">
        <f>IF(A110="","",D110-E110-F110)</f>
        <v/>
      </c>
      <c r="H110" s="79">
        <f>IF(A110="","",IF(G110&lt;0,"⚠️ NEGATIVO",IF(G110=0,"⛔ ZERADO",IF(G110&lt;5,"📦 BAIXO","✅ OK"))))</f>
        <v/>
      </c>
    </row>
    <row r="111" ht="18" customHeight="1" s="109">
      <c r="A111" s="8" t="n"/>
      <c r="B111" s="8" t="n"/>
      <c r="C111" s="8" t="n"/>
      <c r="D111" s="33" t="n"/>
      <c r="E111" s="33" t="n"/>
      <c r="F111" s="33" t="n"/>
      <c r="G111" s="77">
        <f>IF(A111="","",D111-E111-F111)</f>
        <v/>
      </c>
      <c r="H111" s="78">
        <f>IF(A111="","",IF(G111&lt;0,"⚠️ NEGATIVO",IF(G111=0,"⛔ ZERADO",IF(G111&lt;5,"📦 BAIXO","✅ OK"))))</f>
        <v/>
      </c>
    </row>
    <row r="112" ht="18" customHeight="1" s="109">
      <c r="A112" s="12" t="n"/>
      <c r="B112" s="12" t="n"/>
      <c r="C112" s="12" t="n"/>
      <c r="D112" s="46" t="n"/>
      <c r="E112" s="46" t="n"/>
      <c r="F112" s="46" t="n"/>
      <c r="G112" s="77">
        <f>IF(A112="","",D112-E112-F112)</f>
        <v/>
      </c>
      <c r="H112" s="79">
        <f>IF(A112="","",IF(G112&lt;0,"⚠️ NEGATIVO",IF(G112=0,"⛔ ZERADO",IF(G112&lt;5,"📦 BAIXO","✅ OK"))))</f>
        <v/>
      </c>
    </row>
    <row r="113" ht="18" customHeight="1" s="109">
      <c r="A113" s="8" t="n"/>
      <c r="B113" s="8" t="n"/>
      <c r="C113" s="8" t="n"/>
      <c r="D113" s="33" t="n"/>
      <c r="E113" s="33" t="n"/>
      <c r="F113" s="33" t="n"/>
      <c r="G113" s="77">
        <f>IF(A113="","",D113-E113-F113)</f>
        <v/>
      </c>
      <c r="H113" s="78">
        <f>IF(A113="","",IF(G113&lt;0,"⚠️ NEGATIVO",IF(G113=0,"⛔ ZERADO",IF(G113&lt;5,"📦 BAIXO","✅ OK"))))</f>
        <v/>
      </c>
    </row>
    <row r="114" ht="18" customHeight="1" s="109">
      <c r="A114" s="12" t="n"/>
      <c r="B114" s="12" t="n"/>
      <c r="C114" s="12" t="n"/>
      <c r="D114" s="46" t="n"/>
      <c r="E114" s="46" t="n"/>
      <c r="F114" s="46" t="n"/>
      <c r="G114" s="77">
        <f>IF(A114="","",D114-E114-F114)</f>
        <v/>
      </c>
      <c r="H114" s="79">
        <f>IF(A114="","",IF(G114&lt;0,"⚠️ NEGATIVO",IF(G114=0,"⛔ ZERADO",IF(G114&lt;5,"📦 BAIXO","✅ OK"))))</f>
        <v/>
      </c>
    </row>
    <row r="115" ht="18" customHeight="1" s="109">
      <c r="A115" s="8" t="n"/>
      <c r="B115" s="8" t="n"/>
      <c r="C115" s="8" t="n"/>
      <c r="D115" s="33" t="n"/>
      <c r="E115" s="33" t="n"/>
      <c r="F115" s="33" t="n"/>
      <c r="G115" s="77">
        <f>IF(A115="","",D115-E115-F115)</f>
        <v/>
      </c>
      <c r="H115" s="78">
        <f>IF(A115="","",IF(G115&lt;0,"⚠️ NEGATIVO",IF(G115=0,"⛔ ZERADO",IF(G115&lt;5,"📦 BAIXO","✅ OK"))))</f>
        <v/>
      </c>
    </row>
    <row r="116" ht="18" customHeight="1" s="109">
      <c r="A116" s="12" t="n"/>
      <c r="B116" s="12" t="n"/>
      <c r="C116" s="12" t="n"/>
      <c r="D116" s="46" t="n"/>
      <c r="E116" s="46" t="n"/>
      <c r="F116" s="46" t="n"/>
      <c r="G116" s="77">
        <f>IF(A116="","",D116-E116-F116)</f>
        <v/>
      </c>
      <c r="H116" s="79">
        <f>IF(A116="","",IF(G116&lt;0,"⚠️ NEGATIVO",IF(G116=0,"⛔ ZERADO",IF(G116&lt;5,"📦 BAIXO","✅ OK"))))</f>
        <v/>
      </c>
    </row>
    <row r="117" ht="18" customHeight="1" s="109">
      <c r="A117" s="8" t="n"/>
      <c r="B117" s="8" t="n"/>
      <c r="C117" s="8" t="n"/>
      <c r="D117" s="33" t="n"/>
      <c r="E117" s="33" t="n"/>
      <c r="F117" s="33" t="n"/>
      <c r="G117" s="77">
        <f>IF(A117="","",D117-E117-F117)</f>
        <v/>
      </c>
      <c r="H117" s="78">
        <f>IF(A117="","",IF(G117&lt;0,"⚠️ NEGATIVO",IF(G117=0,"⛔ ZERADO",IF(G117&lt;5,"📦 BAIXO","✅ OK"))))</f>
        <v/>
      </c>
    </row>
    <row r="118" ht="18" customHeight="1" s="109">
      <c r="A118" s="12" t="n"/>
      <c r="B118" s="12" t="n"/>
      <c r="C118" s="12" t="n"/>
      <c r="D118" s="46" t="n"/>
      <c r="E118" s="46" t="n"/>
      <c r="F118" s="46" t="n"/>
      <c r="G118" s="77">
        <f>IF(A118="","",D118-E118-F118)</f>
        <v/>
      </c>
      <c r="H118" s="79">
        <f>IF(A118="","",IF(G118&lt;0,"⚠️ NEGATIVO",IF(G118=0,"⛔ ZERADO",IF(G118&lt;5,"📦 BAIXO","✅ OK"))))</f>
        <v/>
      </c>
    </row>
    <row r="119" ht="18" customHeight="1" s="109">
      <c r="A119" s="8" t="n"/>
      <c r="B119" s="8" t="n"/>
      <c r="C119" s="8" t="n"/>
      <c r="D119" s="33" t="n"/>
      <c r="E119" s="33" t="n"/>
      <c r="F119" s="33" t="n"/>
      <c r="G119" s="77">
        <f>IF(A119="","",D119-E119-F119)</f>
        <v/>
      </c>
      <c r="H119" s="78">
        <f>IF(A119="","",IF(G119&lt;0,"⚠️ NEGATIVO",IF(G119=0,"⛔ ZERADO",IF(G119&lt;5,"📦 BAIXO","✅ OK"))))</f>
        <v/>
      </c>
    </row>
    <row r="120" ht="18" customHeight="1" s="109">
      <c r="A120" s="12" t="n"/>
      <c r="B120" s="12" t="n"/>
      <c r="C120" s="12" t="n"/>
      <c r="D120" s="46" t="n"/>
      <c r="E120" s="46" t="n"/>
      <c r="F120" s="46" t="n"/>
      <c r="G120" s="77">
        <f>IF(A120="","",D120-E120-F120)</f>
        <v/>
      </c>
      <c r="H120" s="79">
        <f>IF(A120="","",IF(G120&lt;0,"⚠️ NEGATIVO",IF(G120=0,"⛔ ZERADO",IF(G120&lt;5,"📦 BAIXO","✅ OK"))))</f>
        <v/>
      </c>
    </row>
    <row r="121" ht="18" customHeight="1" s="109">
      <c r="A121" s="8" t="n"/>
      <c r="B121" s="8" t="n"/>
      <c r="C121" s="8" t="n"/>
      <c r="D121" s="33" t="n"/>
      <c r="E121" s="33" t="n"/>
      <c r="F121" s="33" t="n"/>
      <c r="G121" s="77">
        <f>IF(A121="","",D121-E121-F121)</f>
        <v/>
      </c>
      <c r="H121" s="78">
        <f>IF(A121="","",IF(G121&lt;0,"⚠️ NEGATIVO",IF(G121=0,"⛔ ZERADO",IF(G121&lt;5,"📦 BAIXO","✅ OK"))))</f>
        <v/>
      </c>
    </row>
    <row r="122" ht="18" customHeight="1" s="109">
      <c r="A122" s="12" t="n"/>
      <c r="B122" s="12" t="n"/>
      <c r="C122" s="12" t="n"/>
      <c r="D122" s="46" t="n"/>
      <c r="E122" s="46" t="n"/>
      <c r="F122" s="46" t="n"/>
      <c r="G122" s="77">
        <f>IF(A122="","",D122-E122-F122)</f>
        <v/>
      </c>
      <c r="H122" s="79">
        <f>IF(A122="","",IF(G122&lt;0,"⚠️ NEGATIVO",IF(G122=0,"⛔ ZERADO",IF(G122&lt;5,"📦 BAIXO","✅ OK"))))</f>
        <v/>
      </c>
    </row>
    <row r="123" ht="18" customHeight="1" s="109">
      <c r="A123" s="8" t="n"/>
      <c r="B123" s="8" t="n"/>
      <c r="C123" s="8" t="n"/>
      <c r="D123" s="33" t="n"/>
      <c r="E123" s="33" t="n"/>
      <c r="F123" s="33" t="n"/>
      <c r="G123" s="77">
        <f>IF(A123="","",D123-E123-F123)</f>
        <v/>
      </c>
      <c r="H123" s="78">
        <f>IF(A123="","",IF(G123&lt;0,"⚠️ NEGATIVO",IF(G123=0,"⛔ ZERADO",IF(G123&lt;5,"📦 BAIXO","✅ OK"))))</f>
        <v/>
      </c>
    </row>
    <row r="124" ht="18" customHeight="1" s="109">
      <c r="A124" s="12" t="n"/>
      <c r="B124" s="12" t="n"/>
      <c r="C124" s="12" t="n"/>
      <c r="D124" s="46" t="n"/>
      <c r="E124" s="46" t="n"/>
      <c r="F124" s="46" t="n"/>
      <c r="G124" s="77">
        <f>IF(A124="","",D124-E124-F124)</f>
        <v/>
      </c>
      <c r="H124" s="79">
        <f>IF(A124="","",IF(G124&lt;0,"⚠️ NEGATIVO",IF(G124=0,"⛔ ZERADO",IF(G124&lt;5,"📦 BAIXO","✅ OK"))))</f>
        <v/>
      </c>
    </row>
    <row r="125" ht="18" customHeight="1" s="109">
      <c r="A125" s="8" t="n"/>
      <c r="B125" s="8" t="n"/>
      <c r="C125" s="8" t="n"/>
      <c r="D125" s="33" t="n"/>
      <c r="E125" s="33" t="n"/>
      <c r="F125" s="33" t="n"/>
      <c r="G125" s="77">
        <f>IF(A125="","",D125-E125-F125)</f>
        <v/>
      </c>
      <c r="H125" s="78">
        <f>IF(A125="","",IF(G125&lt;0,"⚠️ NEGATIVO",IF(G125=0,"⛔ ZERADO",IF(G125&lt;5,"📦 BAIXO","✅ OK"))))</f>
        <v/>
      </c>
    </row>
    <row r="126" ht="18" customHeight="1" s="109">
      <c r="A126" s="12" t="n"/>
      <c r="B126" s="12" t="n"/>
      <c r="C126" s="12" t="n"/>
      <c r="D126" s="46" t="n"/>
      <c r="E126" s="46" t="n"/>
      <c r="F126" s="46" t="n"/>
      <c r="G126" s="77">
        <f>IF(A126="","",D126-E126-F126)</f>
        <v/>
      </c>
      <c r="H126" s="79">
        <f>IF(A126="","",IF(G126&lt;0,"⚠️ NEGATIVO",IF(G126=0,"⛔ ZERADO",IF(G126&lt;5,"📦 BAIXO","✅ OK"))))</f>
        <v/>
      </c>
    </row>
    <row r="127" ht="18" customHeight="1" s="109">
      <c r="A127" s="8" t="n"/>
      <c r="B127" s="8" t="n"/>
      <c r="C127" s="8" t="n"/>
      <c r="D127" s="33" t="n"/>
      <c r="E127" s="33" t="n"/>
      <c r="F127" s="33" t="n"/>
      <c r="G127" s="77">
        <f>IF(A127="","",D127-E127-F127)</f>
        <v/>
      </c>
      <c r="H127" s="78">
        <f>IF(A127="","",IF(G127&lt;0,"⚠️ NEGATIVO",IF(G127=0,"⛔ ZERADO",IF(G127&lt;5,"📦 BAIXO","✅ OK"))))</f>
        <v/>
      </c>
    </row>
    <row r="128" ht="18" customHeight="1" s="109">
      <c r="A128" s="12" t="n"/>
      <c r="B128" s="12" t="n"/>
      <c r="C128" s="12" t="n"/>
      <c r="D128" s="46" t="n"/>
      <c r="E128" s="46" t="n"/>
      <c r="F128" s="46" t="n"/>
      <c r="G128" s="77">
        <f>IF(A128="","",D128-E128-F128)</f>
        <v/>
      </c>
      <c r="H128" s="79">
        <f>IF(A128="","",IF(G128&lt;0,"⚠️ NEGATIVO",IF(G128=0,"⛔ ZERADO",IF(G128&lt;5,"📦 BAIXO","✅ OK"))))</f>
        <v/>
      </c>
    </row>
    <row r="129" ht="18" customHeight="1" s="109">
      <c r="A129" s="8" t="n"/>
      <c r="B129" s="8" t="n"/>
      <c r="C129" s="8" t="n"/>
      <c r="D129" s="33" t="n"/>
      <c r="E129" s="33" t="n"/>
      <c r="F129" s="33" t="n"/>
      <c r="G129" s="77">
        <f>IF(A129="","",D129-E129-F129)</f>
        <v/>
      </c>
      <c r="H129" s="78">
        <f>IF(A129="","",IF(G129&lt;0,"⚠️ NEGATIVO",IF(G129=0,"⛔ ZERADO",IF(G129&lt;5,"📦 BAIXO","✅ OK"))))</f>
        <v/>
      </c>
    </row>
    <row r="130" ht="18" customHeight="1" s="109">
      <c r="A130" s="12" t="n"/>
      <c r="B130" s="12" t="n"/>
      <c r="C130" s="12" t="n"/>
      <c r="D130" s="46" t="n"/>
      <c r="E130" s="46" t="n"/>
      <c r="F130" s="46" t="n"/>
      <c r="G130" s="77">
        <f>IF(A130="","",D130-E130-F130)</f>
        <v/>
      </c>
      <c r="H130" s="79">
        <f>IF(A130="","",IF(G130&lt;0,"⚠️ NEGATIVO",IF(G130=0,"⛔ ZERADO",IF(G130&lt;5,"📦 BAIXO","✅ OK"))))</f>
        <v/>
      </c>
    </row>
    <row r="131" ht="18" customHeight="1" s="109">
      <c r="A131" s="8" t="n"/>
      <c r="B131" s="8" t="n"/>
      <c r="C131" s="8" t="n"/>
      <c r="D131" s="33" t="n"/>
      <c r="E131" s="33" t="n"/>
      <c r="F131" s="33" t="n"/>
      <c r="G131" s="77">
        <f>IF(A131="","",D131-E131-F131)</f>
        <v/>
      </c>
      <c r="H131" s="78">
        <f>IF(A131="","",IF(G131&lt;0,"⚠️ NEGATIVO",IF(G131=0,"⛔ ZERADO",IF(G131&lt;5,"📦 BAIXO","✅ OK"))))</f>
        <v/>
      </c>
    </row>
    <row r="132" ht="18" customHeight="1" s="109">
      <c r="A132" s="12" t="n"/>
      <c r="B132" s="12" t="n"/>
      <c r="C132" s="12" t="n"/>
      <c r="D132" s="46" t="n"/>
      <c r="E132" s="46" t="n"/>
      <c r="F132" s="46" t="n"/>
      <c r="G132" s="77">
        <f>IF(A132="","",D132-E132-F132)</f>
        <v/>
      </c>
      <c r="H132" s="79">
        <f>IF(A132="","",IF(G132&lt;0,"⚠️ NEGATIVO",IF(G132=0,"⛔ ZERADO",IF(G132&lt;5,"📦 BAIXO","✅ OK"))))</f>
        <v/>
      </c>
    </row>
    <row r="133" ht="18" customHeight="1" s="109">
      <c r="A133" s="8" t="n"/>
      <c r="B133" s="8" t="n"/>
      <c r="C133" s="8" t="n"/>
      <c r="D133" s="33" t="n"/>
      <c r="E133" s="33" t="n"/>
      <c r="F133" s="33" t="n"/>
      <c r="G133" s="77">
        <f>IF(A133="","",D133-E133-F133)</f>
        <v/>
      </c>
      <c r="H133" s="78">
        <f>IF(A133="","",IF(G133&lt;0,"⚠️ NEGATIVO",IF(G133=0,"⛔ ZERADO",IF(G133&lt;5,"📦 BAIXO","✅ OK"))))</f>
        <v/>
      </c>
    </row>
    <row r="134" ht="18" customHeight="1" s="109">
      <c r="A134" s="12" t="n"/>
      <c r="B134" s="12" t="n"/>
      <c r="C134" s="12" t="n"/>
      <c r="D134" s="46" t="n"/>
      <c r="E134" s="46" t="n"/>
      <c r="F134" s="46" t="n"/>
      <c r="G134" s="77">
        <f>IF(A134="","",D134-E134-F134)</f>
        <v/>
      </c>
      <c r="H134" s="79">
        <f>IF(A134="","",IF(G134&lt;0,"⚠️ NEGATIVO",IF(G134=0,"⛔ ZERADO",IF(G134&lt;5,"📦 BAIXO","✅ OK"))))</f>
        <v/>
      </c>
    </row>
    <row r="135" ht="18" customHeight="1" s="109">
      <c r="A135" s="8" t="n"/>
      <c r="B135" s="8" t="n"/>
      <c r="C135" s="8" t="n"/>
      <c r="D135" s="33" t="n"/>
      <c r="E135" s="33" t="n"/>
      <c r="F135" s="33" t="n"/>
      <c r="G135" s="77">
        <f>IF(A135="","",D135-E135-F135)</f>
        <v/>
      </c>
      <c r="H135" s="78">
        <f>IF(A135="","",IF(G135&lt;0,"⚠️ NEGATIVO",IF(G135=0,"⛔ ZERADO",IF(G135&lt;5,"📦 BAIXO","✅ OK"))))</f>
        <v/>
      </c>
    </row>
    <row r="136" ht="18" customHeight="1" s="109">
      <c r="A136" s="12" t="n"/>
      <c r="B136" s="12" t="n"/>
      <c r="C136" s="12" t="n"/>
      <c r="D136" s="46" t="n"/>
      <c r="E136" s="46" t="n"/>
      <c r="F136" s="46" t="n"/>
      <c r="G136" s="77">
        <f>IF(A136="","",D136-E136-F136)</f>
        <v/>
      </c>
      <c r="H136" s="79">
        <f>IF(A136="","",IF(G136&lt;0,"⚠️ NEGATIVO",IF(G136=0,"⛔ ZERADO",IF(G136&lt;5,"📦 BAIXO","✅ OK"))))</f>
        <v/>
      </c>
    </row>
    <row r="137" ht="18" customHeight="1" s="109">
      <c r="A137" s="8" t="n"/>
      <c r="B137" s="8" t="n"/>
      <c r="C137" s="8" t="n"/>
      <c r="D137" s="33" t="n"/>
      <c r="E137" s="33" t="n"/>
      <c r="F137" s="33" t="n"/>
      <c r="G137" s="77">
        <f>IF(A137="","",D137-E137-F137)</f>
        <v/>
      </c>
      <c r="H137" s="78">
        <f>IF(A137="","",IF(G137&lt;0,"⚠️ NEGATIVO",IF(G137=0,"⛔ ZERADO",IF(G137&lt;5,"📦 BAIXO","✅ OK"))))</f>
        <v/>
      </c>
    </row>
    <row r="138" ht="18" customHeight="1" s="109">
      <c r="A138" s="12" t="n"/>
      <c r="B138" s="12" t="n"/>
      <c r="C138" s="12" t="n"/>
      <c r="D138" s="46" t="n"/>
      <c r="E138" s="46" t="n"/>
      <c r="F138" s="46" t="n"/>
      <c r="G138" s="77">
        <f>IF(A138="","",D138-E138-F138)</f>
        <v/>
      </c>
      <c r="H138" s="79">
        <f>IF(A138="","",IF(G138&lt;0,"⚠️ NEGATIVO",IF(G138=0,"⛔ ZERADO",IF(G138&lt;5,"📦 BAIXO","✅ OK"))))</f>
        <v/>
      </c>
    </row>
    <row r="139" ht="18" customHeight="1" s="109">
      <c r="A139" s="8" t="n"/>
      <c r="B139" s="8" t="n"/>
      <c r="C139" s="8" t="n"/>
      <c r="D139" s="33" t="n"/>
      <c r="E139" s="33" t="n"/>
      <c r="F139" s="33" t="n"/>
      <c r="G139" s="77">
        <f>IF(A139="","",D139-E139-F139)</f>
        <v/>
      </c>
      <c r="H139" s="78">
        <f>IF(A139="","",IF(G139&lt;0,"⚠️ NEGATIVO",IF(G139=0,"⛔ ZERADO",IF(G139&lt;5,"📦 BAIXO","✅ OK"))))</f>
        <v/>
      </c>
    </row>
    <row r="140" ht="18" customHeight="1" s="109">
      <c r="A140" s="12" t="n"/>
      <c r="B140" s="12" t="n"/>
      <c r="C140" s="12" t="n"/>
      <c r="D140" s="46" t="n"/>
      <c r="E140" s="46" t="n"/>
      <c r="F140" s="46" t="n"/>
      <c r="G140" s="77">
        <f>IF(A140="","",D140-E140-F140)</f>
        <v/>
      </c>
      <c r="H140" s="79">
        <f>IF(A140="","",IF(G140&lt;0,"⚠️ NEGATIVO",IF(G140=0,"⛔ ZERADO",IF(G140&lt;5,"📦 BAIXO","✅ OK"))))</f>
        <v/>
      </c>
    </row>
    <row r="141" ht="18" customHeight="1" s="109">
      <c r="A141" s="8" t="n"/>
      <c r="B141" s="8" t="n"/>
      <c r="C141" s="8" t="n"/>
      <c r="D141" s="33" t="n"/>
      <c r="E141" s="33" t="n"/>
      <c r="F141" s="33" t="n"/>
      <c r="G141" s="77">
        <f>IF(A141="","",D141-E141-F141)</f>
        <v/>
      </c>
      <c r="H141" s="78">
        <f>IF(A141="","",IF(G141&lt;0,"⚠️ NEGATIVO",IF(G141=0,"⛔ ZERADO",IF(G141&lt;5,"📦 BAIXO","✅ OK"))))</f>
        <v/>
      </c>
    </row>
    <row r="142" ht="18" customHeight="1" s="109">
      <c r="A142" s="12" t="n"/>
      <c r="B142" s="12" t="n"/>
      <c r="C142" s="12" t="n"/>
      <c r="D142" s="46" t="n"/>
      <c r="E142" s="46" t="n"/>
      <c r="F142" s="46" t="n"/>
      <c r="G142" s="77">
        <f>IF(A142="","",D142-E142-F142)</f>
        <v/>
      </c>
      <c r="H142" s="79">
        <f>IF(A142="","",IF(G142&lt;0,"⚠️ NEGATIVO",IF(G142=0,"⛔ ZERADO",IF(G142&lt;5,"📦 BAIXO","✅ OK"))))</f>
        <v/>
      </c>
    </row>
    <row r="143" ht="18" customHeight="1" s="109">
      <c r="A143" s="8" t="n"/>
      <c r="B143" s="8" t="n"/>
      <c r="C143" s="8" t="n"/>
      <c r="D143" s="33" t="n"/>
      <c r="E143" s="33" t="n"/>
      <c r="F143" s="33" t="n"/>
      <c r="G143" s="77">
        <f>IF(A143="","",D143-E143-F143)</f>
        <v/>
      </c>
      <c r="H143" s="78">
        <f>IF(A143="","",IF(G143&lt;0,"⚠️ NEGATIVO",IF(G143=0,"⛔ ZERADO",IF(G143&lt;5,"📦 BAIXO","✅ OK"))))</f>
        <v/>
      </c>
    </row>
    <row r="144" ht="18" customHeight="1" s="109">
      <c r="A144" s="12" t="n"/>
      <c r="B144" s="12" t="n"/>
      <c r="C144" s="12" t="n"/>
      <c r="D144" s="46" t="n"/>
      <c r="E144" s="46" t="n"/>
      <c r="F144" s="46" t="n"/>
      <c r="G144" s="77">
        <f>IF(A144="","",D144-E144-F144)</f>
        <v/>
      </c>
      <c r="H144" s="79">
        <f>IF(A144="","",IF(G144&lt;0,"⚠️ NEGATIVO",IF(G144=0,"⛔ ZERADO",IF(G144&lt;5,"📦 BAIXO","✅ OK"))))</f>
        <v/>
      </c>
    </row>
    <row r="145" ht="18" customHeight="1" s="109">
      <c r="A145" s="8" t="n"/>
      <c r="B145" s="8" t="n"/>
      <c r="C145" s="8" t="n"/>
      <c r="D145" s="33" t="n"/>
      <c r="E145" s="33" t="n"/>
      <c r="F145" s="33" t="n"/>
      <c r="G145" s="77">
        <f>IF(A145="","",D145-E145-F145)</f>
        <v/>
      </c>
      <c r="H145" s="78">
        <f>IF(A145="","",IF(G145&lt;0,"⚠️ NEGATIVO",IF(G145=0,"⛔ ZERADO",IF(G145&lt;5,"📦 BAIXO","✅ OK"))))</f>
        <v/>
      </c>
    </row>
    <row r="146" ht="18" customHeight="1" s="109">
      <c r="A146" s="12" t="n"/>
      <c r="B146" s="12" t="n"/>
      <c r="C146" s="12" t="n"/>
      <c r="D146" s="46" t="n"/>
      <c r="E146" s="46" t="n"/>
      <c r="F146" s="46" t="n"/>
      <c r="G146" s="77">
        <f>IF(A146="","",D146-E146-F146)</f>
        <v/>
      </c>
      <c r="H146" s="79">
        <f>IF(A146="","",IF(G146&lt;0,"⚠️ NEGATIVO",IF(G146=0,"⛔ ZERADO",IF(G146&lt;5,"📦 BAIXO","✅ OK"))))</f>
        <v/>
      </c>
    </row>
    <row r="147" ht="18" customHeight="1" s="109">
      <c r="A147" s="8" t="n"/>
      <c r="B147" s="8" t="n"/>
      <c r="C147" s="8" t="n"/>
      <c r="D147" s="33" t="n"/>
      <c r="E147" s="33" t="n"/>
      <c r="F147" s="33" t="n"/>
      <c r="G147" s="77">
        <f>IF(A147="","",D147-E147-F147)</f>
        <v/>
      </c>
      <c r="H147" s="78">
        <f>IF(A147="","",IF(G147&lt;0,"⚠️ NEGATIVO",IF(G147=0,"⛔ ZERADO",IF(G147&lt;5,"📦 BAIXO","✅ OK"))))</f>
        <v/>
      </c>
    </row>
    <row r="148" ht="18" customHeight="1" s="109">
      <c r="A148" s="12" t="n"/>
      <c r="B148" s="12" t="n"/>
      <c r="C148" s="12" t="n"/>
      <c r="D148" s="46" t="n"/>
      <c r="E148" s="46" t="n"/>
      <c r="F148" s="46" t="n"/>
      <c r="G148" s="77">
        <f>IF(A148="","",D148-E148-F148)</f>
        <v/>
      </c>
      <c r="H148" s="79">
        <f>IF(A148="","",IF(G148&lt;0,"⚠️ NEGATIVO",IF(G148=0,"⛔ ZERADO",IF(G148&lt;5,"📦 BAIXO","✅ OK"))))</f>
        <v/>
      </c>
    </row>
    <row r="149" ht="18" customHeight="1" s="109">
      <c r="A149" s="8" t="n"/>
      <c r="B149" s="8" t="n"/>
      <c r="C149" s="8" t="n"/>
      <c r="D149" s="33" t="n"/>
      <c r="E149" s="33" t="n"/>
      <c r="F149" s="33" t="n"/>
      <c r="G149" s="77">
        <f>IF(A149="","",D149-E149-F149)</f>
        <v/>
      </c>
      <c r="H149" s="78">
        <f>IF(A149="","",IF(G149&lt;0,"⚠️ NEGATIVO",IF(G149=0,"⛔ ZERADO",IF(G149&lt;5,"📦 BAIXO","✅ OK"))))</f>
        <v/>
      </c>
    </row>
    <row r="150" ht="18" customHeight="1" s="109">
      <c r="A150" s="12" t="n"/>
      <c r="B150" s="12" t="n"/>
      <c r="C150" s="12" t="n"/>
      <c r="D150" s="46" t="n"/>
      <c r="E150" s="46" t="n"/>
      <c r="F150" s="46" t="n"/>
      <c r="G150" s="77">
        <f>IF(A150="","",D150-E150-F150)</f>
        <v/>
      </c>
      <c r="H150" s="79">
        <f>IF(A150="","",IF(G150&lt;0,"⚠️ NEGATIVO",IF(G150=0,"⛔ ZERADO",IF(G150&lt;5,"📦 BAIXO","✅ OK"))))</f>
        <v/>
      </c>
    </row>
    <row r="151" ht="18" customHeight="1" s="109">
      <c r="A151" s="8" t="n"/>
      <c r="B151" s="8" t="n"/>
      <c r="C151" s="8" t="n"/>
      <c r="D151" s="33" t="n"/>
      <c r="E151" s="33" t="n"/>
      <c r="F151" s="33" t="n"/>
      <c r="G151" s="77">
        <f>IF(A151="","",D151-E151-F151)</f>
        <v/>
      </c>
      <c r="H151" s="78">
        <f>IF(A151="","",IF(G151&lt;0,"⚠️ NEGATIVO",IF(G151=0,"⛔ ZERADO",IF(G151&lt;5,"📦 BAIXO","✅ OK"))))</f>
        <v/>
      </c>
    </row>
    <row r="152" ht="18" customHeight="1" s="109">
      <c r="A152" s="12" t="n"/>
      <c r="B152" s="12" t="n"/>
      <c r="C152" s="12" t="n"/>
      <c r="D152" s="46" t="n"/>
      <c r="E152" s="46" t="n"/>
      <c r="F152" s="46" t="n"/>
      <c r="G152" s="77">
        <f>IF(A152="","",D152-E152-F152)</f>
        <v/>
      </c>
      <c r="H152" s="79">
        <f>IF(A152="","",IF(G152&lt;0,"⚠️ NEGATIVO",IF(G152=0,"⛔ ZERADO",IF(G152&lt;5,"📦 BAIXO","✅ OK"))))</f>
        <v/>
      </c>
    </row>
    <row r="153" ht="18" customHeight="1" s="109">
      <c r="A153" s="8" t="n"/>
      <c r="B153" s="8" t="n"/>
      <c r="C153" s="8" t="n"/>
      <c r="D153" s="33" t="n"/>
      <c r="E153" s="33" t="n"/>
      <c r="F153" s="33" t="n"/>
      <c r="G153" s="77">
        <f>IF(A153="","",D153-E153-F153)</f>
        <v/>
      </c>
      <c r="H153" s="78">
        <f>IF(A153="","",IF(G153&lt;0,"⚠️ NEGATIVO",IF(G153=0,"⛔ ZERADO",IF(G153&lt;5,"📦 BAIXO","✅ OK"))))</f>
        <v/>
      </c>
    </row>
    <row r="154" ht="18" customHeight="1" s="109">
      <c r="A154" s="12" t="n"/>
      <c r="B154" s="12" t="n"/>
      <c r="C154" s="12" t="n"/>
      <c r="D154" s="46" t="n"/>
      <c r="E154" s="46" t="n"/>
      <c r="F154" s="46" t="n"/>
      <c r="G154" s="77">
        <f>IF(A154="","",D154-E154-F154)</f>
        <v/>
      </c>
      <c r="H154" s="79">
        <f>IF(A154="","",IF(G154&lt;0,"⚠️ NEGATIVO",IF(G154=0,"⛔ ZERADO",IF(G154&lt;5,"📦 BAIXO","✅ OK"))))</f>
        <v/>
      </c>
    </row>
    <row r="155" ht="18" customHeight="1" s="109">
      <c r="A155" s="8" t="n"/>
      <c r="B155" s="8" t="n"/>
      <c r="C155" s="8" t="n"/>
      <c r="D155" s="33" t="n"/>
      <c r="E155" s="33" t="n"/>
      <c r="F155" s="33" t="n"/>
      <c r="G155" s="77">
        <f>IF(A155="","",D155-E155-F155)</f>
        <v/>
      </c>
      <c r="H155" s="78">
        <f>IF(A155="","",IF(G155&lt;0,"⚠️ NEGATIVO",IF(G155=0,"⛔ ZERADO",IF(G155&lt;5,"📦 BAIXO","✅ OK"))))</f>
        <v/>
      </c>
    </row>
    <row r="156" ht="18" customHeight="1" s="109">
      <c r="A156" s="12" t="n"/>
      <c r="B156" s="12" t="n"/>
      <c r="C156" s="12" t="n"/>
      <c r="D156" s="46" t="n"/>
      <c r="E156" s="46" t="n"/>
      <c r="F156" s="46" t="n"/>
      <c r="G156" s="77">
        <f>IF(A156="","",D156-E156-F156)</f>
        <v/>
      </c>
      <c r="H156" s="79">
        <f>IF(A156="","",IF(G156&lt;0,"⚠️ NEGATIVO",IF(G156=0,"⛔ ZERADO",IF(G156&lt;5,"📦 BAIXO","✅ OK"))))</f>
        <v/>
      </c>
    </row>
    <row r="157" ht="18" customHeight="1" s="109">
      <c r="A157" s="8" t="n"/>
      <c r="B157" s="8" t="n"/>
      <c r="C157" s="8" t="n"/>
      <c r="D157" s="33" t="n"/>
      <c r="E157" s="33" t="n"/>
      <c r="F157" s="33" t="n"/>
      <c r="G157" s="77">
        <f>IF(A157="","",D157-E157-F157)</f>
        <v/>
      </c>
      <c r="H157" s="78">
        <f>IF(A157="","",IF(G157&lt;0,"⚠️ NEGATIVO",IF(G157=0,"⛔ ZERADO",IF(G157&lt;5,"📦 BAIXO","✅ OK"))))</f>
        <v/>
      </c>
    </row>
    <row r="158" ht="18" customHeight="1" s="109">
      <c r="A158" s="12" t="n"/>
      <c r="B158" s="12" t="n"/>
      <c r="C158" s="12" t="n"/>
      <c r="D158" s="46" t="n"/>
      <c r="E158" s="46" t="n"/>
      <c r="F158" s="46" t="n"/>
      <c r="G158" s="77">
        <f>IF(A158="","",D158-E158-F158)</f>
        <v/>
      </c>
      <c r="H158" s="79">
        <f>IF(A158="","",IF(G158&lt;0,"⚠️ NEGATIVO",IF(G158=0,"⛔ ZERADO",IF(G158&lt;5,"📦 BAIXO","✅ OK"))))</f>
        <v/>
      </c>
    </row>
    <row r="159" ht="18" customHeight="1" s="109">
      <c r="A159" s="8" t="n"/>
      <c r="B159" s="8" t="n"/>
      <c r="C159" s="8" t="n"/>
      <c r="D159" s="33" t="n"/>
      <c r="E159" s="33" t="n"/>
      <c r="F159" s="33" t="n"/>
      <c r="G159" s="77">
        <f>IF(A159="","",D159-E159-F159)</f>
        <v/>
      </c>
      <c r="H159" s="78">
        <f>IF(A159="","",IF(G159&lt;0,"⚠️ NEGATIVO",IF(G159=0,"⛔ ZERADO",IF(G159&lt;5,"📦 BAIXO","✅ OK"))))</f>
        <v/>
      </c>
    </row>
    <row r="160" ht="18" customHeight="1" s="109">
      <c r="A160" s="12" t="n"/>
      <c r="B160" s="12" t="n"/>
      <c r="C160" s="12" t="n"/>
      <c r="D160" s="46" t="n"/>
      <c r="E160" s="46" t="n"/>
      <c r="F160" s="46" t="n"/>
      <c r="G160" s="77">
        <f>IF(A160="","",D160-E160-F160)</f>
        <v/>
      </c>
      <c r="H160" s="79">
        <f>IF(A160="","",IF(G160&lt;0,"⚠️ NEGATIVO",IF(G160=0,"⛔ ZERADO",IF(G160&lt;5,"📦 BAIXO","✅ OK"))))</f>
        <v/>
      </c>
    </row>
    <row r="161" ht="18" customHeight="1" s="109">
      <c r="A161" s="8" t="n"/>
      <c r="B161" s="8" t="n"/>
      <c r="C161" s="8" t="n"/>
      <c r="D161" s="33" t="n"/>
      <c r="E161" s="33" t="n"/>
      <c r="F161" s="33" t="n"/>
      <c r="G161" s="77">
        <f>IF(A161="","",D161-E161-F161)</f>
        <v/>
      </c>
      <c r="H161" s="78">
        <f>IF(A161="","",IF(G161&lt;0,"⚠️ NEGATIVO",IF(G161=0,"⛔ ZERADO",IF(G161&lt;5,"📦 BAIXO","✅ OK"))))</f>
        <v/>
      </c>
    </row>
    <row r="162" ht="18" customHeight="1" s="109">
      <c r="A162" s="12" t="n"/>
      <c r="B162" s="12" t="n"/>
      <c r="C162" s="12" t="n"/>
      <c r="D162" s="46" t="n"/>
      <c r="E162" s="46" t="n"/>
      <c r="F162" s="46" t="n"/>
      <c r="G162" s="77">
        <f>IF(A162="","",D162-E162-F162)</f>
        <v/>
      </c>
      <c r="H162" s="79">
        <f>IF(A162="","",IF(G162&lt;0,"⚠️ NEGATIVO",IF(G162=0,"⛔ ZERADO",IF(G162&lt;5,"📦 BAIXO","✅ OK"))))</f>
        <v/>
      </c>
    </row>
    <row r="163" ht="18" customHeight="1" s="109">
      <c r="A163" s="8" t="n"/>
      <c r="B163" s="8" t="n"/>
      <c r="C163" s="8" t="n"/>
      <c r="D163" s="33" t="n"/>
      <c r="E163" s="33" t="n"/>
      <c r="F163" s="33" t="n"/>
      <c r="G163" s="77">
        <f>IF(A163="","",D163-E163-F163)</f>
        <v/>
      </c>
      <c r="H163" s="78">
        <f>IF(A163="","",IF(G163&lt;0,"⚠️ NEGATIVO",IF(G163=0,"⛔ ZERADO",IF(G163&lt;5,"📦 BAIXO","✅ OK"))))</f>
        <v/>
      </c>
    </row>
    <row r="164" ht="18" customHeight="1" s="109">
      <c r="A164" s="12" t="n"/>
      <c r="B164" s="12" t="n"/>
      <c r="C164" s="12" t="n"/>
      <c r="D164" s="46" t="n"/>
      <c r="E164" s="46" t="n"/>
      <c r="F164" s="46" t="n"/>
      <c r="G164" s="77">
        <f>IF(A164="","",D164-E164-F164)</f>
        <v/>
      </c>
      <c r="H164" s="79">
        <f>IF(A164="","",IF(G164&lt;0,"⚠️ NEGATIVO",IF(G164=0,"⛔ ZERADO",IF(G164&lt;5,"📦 BAIXO","✅ OK"))))</f>
        <v/>
      </c>
    </row>
    <row r="165" ht="18" customHeight="1" s="109">
      <c r="A165" s="8" t="n"/>
      <c r="B165" s="8" t="n"/>
      <c r="C165" s="8" t="n"/>
      <c r="D165" s="33" t="n"/>
      <c r="E165" s="33" t="n"/>
      <c r="F165" s="33" t="n"/>
      <c r="G165" s="77">
        <f>IF(A165="","",D165-E165-F165)</f>
        <v/>
      </c>
      <c r="H165" s="78">
        <f>IF(A165="","",IF(G165&lt;0,"⚠️ NEGATIVO",IF(G165=0,"⛔ ZERADO",IF(G165&lt;5,"📦 BAIXO","✅ OK"))))</f>
        <v/>
      </c>
    </row>
    <row r="166" ht="18" customHeight="1" s="109">
      <c r="A166" s="12" t="n"/>
      <c r="B166" s="12" t="n"/>
      <c r="C166" s="12" t="n"/>
      <c r="D166" s="46" t="n"/>
      <c r="E166" s="46" t="n"/>
      <c r="F166" s="46" t="n"/>
      <c r="G166" s="77">
        <f>IF(A166="","",D166-E166-F166)</f>
        <v/>
      </c>
      <c r="H166" s="79">
        <f>IF(A166="","",IF(G166&lt;0,"⚠️ NEGATIVO",IF(G166=0,"⛔ ZERADO",IF(G166&lt;5,"📦 BAIXO","✅ OK"))))</f>
        <v/>
      </c>
    </row>
    <row r="167" ht="18" customHeight="1" s="109">
      <c r="A167" s="8" t="n"/>
      <c r="B167" s="8" t="n"/>
      <c r="C167" s="8" t="n"/>
      <c r="D167" s="33" t="n"/>
      <c r="E167" s="33" t="n"/>
      <c r="F167" s="33" t="n"/>
      <c r="G167" s="77">
        <f>IF(A167="","",D167-E167-F167)</f>
        <v/>
      </c>
      <c r="H167" s="78">
        <f>IF(A167="","",IF(G167&lt;0,"⚠️ NEGATIVO",IF(G167=0,"⛔ ZERADO",IF(G167&lt;5,"📦 BAIXO","✅ OK"))))</f>
        <v/>
      </c>
    </row>
    <row r="168" ht="18" customHeight="1" s="109">
      <c r="A168" s="12" t="n"/>
      <c r="B168" s="12" t="n"/>
      <c r="C168" s="12" t="n"/>
      <c r="D168" s="46" t="n"/>
      <c r="E168" s="46" t="n"/>
      <c r="F168" s="46" t="n"/>
      <c r="G168" s="77">
        <f>IF(A168="","",D168-E168-F168)</f>
        <v/>
      </c>
      <c r="H168" s="79">
        <f>IF(A168="","",IF(G168&lt;0,"⚠️ NEGATIVO",IF(G168=0,"⛔ ZERADO",IF(G168&lt;5,"📦 BAIXO","✅ OK"))))</f>
        <v/>
      </c>
    </row>
    <row r="169" ht="18" customHeight="1" s="109">
      <c r="A169" s="8" t="n"/>
      <c r="B169" s="8" t="n"/>
      <c r="C169" s="8" t="n"/>
      <c r="D169" s="33" t="n"/>
      <c r="E169" s="33" t="n"/>
      <c r="F169" s="33" t="n"/>
      <c r="G169" s="77">
        <f>IF(A169="","",D169-E169-F169)</f>
        <v/>
      </c>
      <c r="H169" s="78">
        <f>IF(A169="","",IF(G169&lt;0,"⚠️ NEGATIVO",IF(G169=0,"⛔ ZERADO",IF(G169&lt;5,"📦 BAIXO","✅ OK"))))</f>
        <v/>
      </c>
    </row>
    <row r="170" ht="18" customHeight="1" s="109">
      <c r="A170" s="12" t="n"/>
      <c r="B170" s="12" t="n"/>
      <c r="C170" s="12" t="n"/>
      <c r="D170" s="46" t="n"/>
      <c r="E170" s="46" t="n"/>
      <c r="F170" s="46" t="n"/>
      <c r="G170" s="77">
        <f>IF(A170="","",D170-E170-F170)</f>
        <v/>
      </c>
      <c r="H170" s="79">
        <f>IF(A170="","",IF(G170&lt;0,"⚠️ NEGATIVO",IF(G170=0,"⛔ ZERADO",IF(G170&lt;5,"📦 BAIXO","✅ OK"))))</f>
        <v/>
      </c>
    </row>
    <row r="171" ht="18" customHeight="1" s="109">
      <c r="A171" s="8" t="n"/>
      <c r="B171" s="8" t="n"/>
      <c r="C171" s="8" t="n"/>
      <c r="D171" s="33" t="n"/>
      <c r="E171" s="33" t="n"/>
      <c r="F171" s="33" t="n"/>
      <c r="G171" s="77">
        <f>IF(A171="","",D171-E171-F171)</f>
        <v/>
      </c>
      <c r="H171" s="78">
        <f>IF(A171="","",IF(G171&lt;0,"⚠️ NEGATIVO",IF(G171=0,"⛔ ZERADO",IF(G171&lt;5,"📦 BAIXO","✅ OK"))))</f>
        <v/>
      </c>
    </row>
    <row r="172" ht="18" customHeight="1" s="109">
      <c r="A172" s="12" t="n"/>
      <c r="B172" s="12" t="n"/>
      <c r="C172" s="12" t="n"/>
      <c r="D172" s="46" t="n"/>
      <c r="E172" s="46" t="n"/>
      <c r="F172" s="46" t="n"/>
      <c r="G172" s="77">
        <f>IF(A172="","",D172-E172-F172)</f>
        <v/>
      </c>
      <c r="H172" s="79">
        <f>IF(A172="","",IF(G172&lt;0,"⚠️ NEGATIVO",IF(G172=0,"⛔ ZERADO",IF(G172&lt;5,"📦 BAIXO","✅ OK"))))</f>
        <v/>
      </c>
    </row>
    <row r="173" ht="18" customHeight="1" s="109">
      <c r="A173" s="8" t="n"/>
      <c r="B173" s="8" t="n"/>
      <c r="C173" s="8" t="n"/>
      <c r="D173" s="33" t="n"/>
      <c r="E173" s="33" t="n"/>
      <c r="F173" s="33" t="n"/>
      <c r="G173" s="77">
        <f>IF(A173="","",D173-E173-F173)</f>
        <v/>
      </c>
      <c r="H173" s="78">
        <f>IF(A173="","",IF(G173&lt;0,"⚠️ NEGATIVO",IF(G173=0,"⛔ ZERADO",IF(G173&lt;5,"📦 BAIXO","✅ OK"))))</f>
        <v/>
      </c>
    </row>
    <row r="174" ht="18" customHeight="1" s="109">
      <c r="A174" s="12" t="n"/>
      <c r="B174" s="12" t="n"/>
      <c r="C174" s="12" t="n"/>
      <c r="D174" s="46" t="n"/>
      <c r="E174" s="46" t="n"/>
      <c r="F174" s="46" t="n"/>
      <c r="G174" s="77">
        <f>IF(A174="","",D174-E174-F174)</f>
        <v/>
      </c>
      <c r="H174" s="79">
        <f>IF(A174="","",IF(G174&lt;0,"⚠️ NEGATIVO",IF(G174=0,"⛔ ZERADO",IF(G174&lt;5,"📦 BAIXO","✅ OK"))))</f>
        <v/>
      </c>
    </row>
    <row r="175" ht="18" customHeight="1" s="109">
      <c r="A175" s="8" t="n"/>
      <c r="B175" s="8" t="n"/>
      <c r="C175" s="8" t="n"/>
      <c r="D175" s="33" t="n"/>
      <c r="E175" s="33" t="n"/>
      <c r="F175" s="33" t="n"/>
      <c r="G175" s="77">
        <f>IF(A175="","",D175-E175-F175)</f>
        <v/>
      </c>
      <c r="H175" s="78">
        <f>IF(A175="","",IF(G175&lt;0,"⚠️ NEGATIVO",IF(G175=0,"⛔ ZERADO",IF(G175&lt;5,"📦 BAIXO","✅ OK"))))</f>
        <v/>
      </c>
    </row>
    <row r="176" ht="18" customHeight="1" s="109">
      <c r="A176" s="12" t="n"/>
      <c r="B176" s="12" t="n"/>
      <c r="C176" s="12" t="n"/>
      <c r="D176" s="46" t="n"/>
      <c r="E176" s="46" t="n"/>
      <c r="F176" s="46" t="n"/>
      <c r="G176" s="77">
        <f>IF(A176="","",D176-E176-F176)</f>
        <v/>
      </c>
      <c r="H176" s="79">
        <f>IF(A176="","",IF(G176&lt;0,"⚠️ NEGATIVO",IF(G176=0,"⛔ ZERADO",IF(G176&lt;5,"📦 BAIXO","✅ OK"))))</f>
        <v/>
      </c>
    </row>
    <row r="177" ht="18" customHeight="1" s="109">
      <c r="A177" s="8" t="n"/>
      <c r="B177" s="8" t="n"/>
      <c r="C177" s="8" t="n"/>
      <c r="D177" s="33" t="n"/>
      <c r="E177" s="33" t="n"/>
      <c r="F177" s="33" t="n"/>
      <c r="G177" s="77">
        <f>IF(A177="","",D177-E177-F177)</f>
        <v/>
      </c>
      <c r="H177" s="78">
        <f>IF(A177="","",IF(G177&lt;0,"⚠️ NEGATIVO",IF(G177=0,"⛔ ZERADO",IF(G177&lt;5,"📦 BAIXO","✅ OK"))))</f>
        <v/>
      </c>
    </row>
    <row r="178" ht="18" customHeight="1" s="109">
      <c r="A178" s="12" t="n"/>
      <c r="B178" s="12" t="n"/>
      <c r="C178" s="12" t="n"/>
      <c r="D178" s="46" t="n"/>
      <c r="E178" s="46" t="n"/>
      <c r="F178" s="46" t="n"/>
      <c r="G178" s="77">
        <f>IF(A178="","",D178-E178-F178)</f>
        <v/>
      </c>
      <c r="H178" s="79">
        <f>IF(A178="","",IF(G178&lt;0,"⚠️ NEGATIVO",IF(G178=0,"⛔ ZERADO",IF(G178&lt;5,"📦 BAIXO","✅ OK"))))</f>
        <v/>
      </c>
    </row>
    <row r="179" ht="18" customHeight="1" s="109">
      <c r="A179" s="8" t="n"/>
      <c r="B179" s="8" t="n"/>
      <c r="C179" s="8" t="n"/>
      <c r="D179" s="33" t="n"/>
      <c r="E179" s="33" t="n"/>
      <c r="F179" s="33" t="n"/>
      <c r="G179" s="77">
        <f>IF(A179="","",D179-E179-F179)</f>
        <v/>
      </c>
      <c r="H179" s="78">
        <f>IF(A179="","",IF(G179&lt;0,"⚠️ NEGATIVO",IF(G179=0,"⛔ ZERADO",IF(G179&lt;5,"📦 BAIXO","✅ OK"))))</f>
        <v/>
      </c>
    </row>
    <row r="180" ht="18" customHeight="1" s="109">
      <c r="A180" s="12" t="n"/>
      <c r="B180" s="12" t="n"/>
      <c r="C180" s="12" t="n"/>
      <c r="D180" s="46" t="n"/>
      <c r="E180" s="46" t="n"/>
      <c r="F180" s="46" t="n"/>
      <c r="G180" s="77">
        <f>IF(A180="","",D180-E180-F180)</f>
        <v/>
      </c>
      <c r="H180" s="79">
        <f>IF(A180="","",IF(G180&lt;0,"⚠️ NEGATIVO",IF(G180=0,"⛔ ZERADO",IF(G180&lt;5,"📦 BAIXO","✅ OK"))))</f>
        <v/>
      </c>
    </row>
    <row r="181" ht="18" customHeight="1" s="109">
      <c r="A181" s="8" t="n"/>
      <c r="B181" s="8" t="n"/>
      <c r="C181" s="8" t="n"/>
      <c r="D181" s="33" t="n"/>
      <c r="E181" s="33" t="n"/>
      <c r="F181" s="33" t="n"/>
      <c r="G181" s="77">
        <f>IF(A181="","",D181-E181-F181)</f>
        <v/>
      </c>
      <c r="H181" s="78">
        <f>IF(A181="","",IF(G181&lt;0,"⚠️ NEGATIVO",IF(G181=0,"⛔ ZERADO",IF(G181&lt;5,"📦 BAIXO","✅ OK"))))</f>
        <v/>
      </c>
    </row>
    <row r="182" ht="18" customHeight="1" s="109">
      <c r="A182" s="12" t="n"/>
      <c r="B182" s="12" t="n"/>
      <c r="C182" s="12" t="n"/>
      <c r="D182" s="46" t="n"/>
      <c r="E182" s="46" t="n"/>
      <c r="F182" s="46" t="n"/>
      <c r="G182" s="77">
        <f>IF(A182="","",D182-E182-F182)</f>
        <v/>
      </c>
      <c r="H182" s="79">
        <f>IF(A182="","",IF(G182&lt;0,"⚠️ NEGATIVO",IF(G182=0,"⛔ ZERADO",IF(G182&lt;5,"📦 BAIXO","✅ OK"))))</f>
        <v/>
      </c>
    </row>
    <row r="183" ht="18" customHeight="1" s="109">
      <c r="A183" s="8" t="n"/>
      <c r="B183" s="8" t="n"/>
      <c r="C183" s="8" t="n"/>
      <c r="D183" s="33" t="n"/>
      <c r="E183" s="33" t="n"/>
      <c r="F183" s="33" t="n"/>
      <c r="G183" s="77">
        <f>IF(A183="","",D183-E183-F183)</f>
        <v/>
      </c>
      <c r="H183" s="78">
        <f>IF(A183="","",IF(G183&lt;0,"⚠️ NEGATIVO",IF(G183=0,"⛔ ZERADO",IF(G183&lt;5,"📦 BAIXO","✅ OK"))))</f>
        <v/>
      </c>
    </row>
    <row r="184" ht="18" customHeight="1" s="109">
      <c r="A184" s="12" t="n"/>
      <c r="B184" s="12" t="n"/>
      <c r="C184" s="12" t="n"/>
      <c r="D184" s="46" t="n"/>
      <c r="E184" s="46" t="n"/>
      <c r="F184" s="46" t="n"/>
      <c r="G184" s="77">
        <f>IF(A184="","",D184-E184-F184)</f>
        <v/>
      </c>
      <c r="H184" s="79">
        <f>IF(A184="","",IF(G184&lt;0,"⚠️ NEGATIVO",IF(G184=0,"⛔ ZERADO",IF(G184&lt;5,"📦 BAIXO","✅ OK"))))</f>
        <v/>
      </c>
    </row>
    <row r="185" ht="18" customHeight="1" s="109">
      <c r="A185" s="8" t="n"/>
      <c r="B185" s="8" t="n"/>
      <c r="C185" s="8" t="n"/>
      <c r="D185" s="33" t="n"/>
      <c r="E185" s="33" t="n"/>
      <c r="F185" s="33" t="n"/>
      <c r="G185" s="77">
        <f>IF(A185="","",D185-E185-F185)</f>
        <v/>
      </c>
      <c r="H185" s="78">
        <f>IF(A185="","",IF(G185&lt;0,"⚠️ NEGATIVO",IF(G185=0,"⛔ ZERADO",IF(G185&lt;5,"📦 BAIXO","✅ OK"))))</f>
        <v/>
      </c>
    </row>
    <row r="186" ht="18" customHeight="1" s="109">
      <c r="A186" s="12" t="n"/>
      <c r="B186" s="12" t="n"/>
      <c r="C186" s="12" t="n"/>
      <c r="D186" s="46" t="n"/>
      <c r="E186" s="46" t="n"/>
      <c r="F186" s="46" t="n"/>
      <c r="G186" s="77">
        <f>IF(A186="","",D186-E186-F186)</f>
        <v/>
      </c>
      <c r="H186" s="79">
        <f>IF(A186="","",IF(G186&lt;0,"⚠️ NEGATIVO",IF(G186=0,"⛔ ZERADO",IF(G186&lt;5,"📦 BAIXO","✅ OK"))))</f>
        <v/>
      </c>
    </row>
    <row r="187" ht="18" customHeight="1" s="109">
      <c r="A187" s="8" t="n"/>
      <c r="B187" s="8" t="n"/>
      <c r="C187" s="8" t="n"/>
      <c r="D187" s="33" t="n"/>
      <c r="E187" s="33" t="n"/>
      <c r="F187" s="33" t="n"/>
      <c r="G187" s="77">
        <f>IF(A187="","",D187-E187-F187)</f>
        <v/>
      </c>
      <c r="H187" s="78">
        <f>IF(A187="","",IF(G187&lt;0,"⚠️ NEGATIVO",IF(G187=0,"⛔ ZERADO",IF(G187&lt;5,"📦 BAIXO","✅ OK"))))</f>
        <v/>
      </c>
    </row>
    <row r="188" ht="18" customHeight="1" s="109">
      <c r="A188" s="12" t="n"/>
      <c r="B188" s="12" t="n"/>
      <c r="C188" s="12" t="n"/>
      <c r="D188" s="46" t="n"/>
      <c r="E188" s="46" t="n"/>
      <c r="F188" s="46" t="n"/>
      <c r="G188" s="77">
        <f>IF(A188="","",D188-E188-F188)</f>
        <v/>
      </c>
      <c r="H188" s="79">
        <f>IF(A188="","",IF(G188&lt;0,"⚠️ NEGATIVO",IF(G188=0,"⛔ ZERADO",IF(G188&lt;5,"📦 BAIXO","✅ OK"))))</f>
        <v/>
      </c>
    </row>
    <row r="189" ht="18" customHeight="1" s="109">
      <c r="A189" s="8" t="n"/>
      <c r="B189" s="8" t="n"/>
      <c r="C189" s="8" t="n"/>
      <c r="D189" s="33" t="n"/>
      <c r="E189" s="33" t="n"/>
      <c r="F189" s="33" t="n"/>
      <c r="G189" s="77">
        <f>IF(A189="","",D189-E189-F189)</f>
        <v/>
      </c>
      <c r="H189" s="78">
        <f>IF(A189="","",IF(G189&lt;0,"⚠️ NEGATIVO",IF(G189=0,"⛔ ZERADO",IF(G189&lt;5,"📦 BAIXO","✅ OK"))))</f>
        <v/>
      </c>
    </row>
    <row r="190" ht="18" customHeight="1" s="109">
      <c r="A190" s="12" t="n"/>
      <c r="B190" s="12" t="n"/>
      <c r="C190" s="12" t="n"/>
      <c r="D190" s="46" t="n"/>
      <c r="E190" s="46" t="n"/>
      <c r="F190" s="46" t="n"/>
      <c r="G190" s="77">
        <f>IF(A190="","",D190-E190-F190)</f>
        <v/>
      </c>
      <c r="H190" s="79">
        <f>IF(A190="","",IF(G190&lt;0,"⚠️ NEGATIVO",IF(G190=0,"⛔ ZERADO",IF(G190&lt;5,"📦 BAIXO","✅ OK"))))</f>
        <v/>
      </c>
    </row>
    <row r="191" ht="18" customHeight="1" s="109">
      <c r="A191" s="8" t="n"/>
      <c r="B191" s="8" t="n"/>
      <c r="C191" s="8" t="n"/>
      <c r="D191" s="33" t="n"/>
      <c r="E191" s="33" t="n"/>
      <c r="F191" s="33" t="n"/>
      <c r="G191" s="77">
        <f>IF(A191="","",D191-E191-F191)</f>
        <v/>
      </c>
      <c r="H191" s="78">
        <f>IF(A191="","",IF(G191&lt;0,"⚠️ NEGATIVO",IF(G191=0,"⛔ ZERADO",IF(G191&lt;5,"📦 BAIXO","✅ OK"))))</f>
        <v/>
      </c>
    </row>
    <row r="192" ht="18" customHeight="1" s="109">
      <c r="A192" s="12" t="n"/>
      <c r="B192" s="12" t="n"/>
      <c r="C192" s="12" t="n"/>
      <c r="D192" s="46" t="n"/>
      <c r="E192" s="46" t="n"/>
      <c r="F192" s="46" t="n"/>
      <c r="G192" s="77">
        <f>IF(A192="","",D192-E192-F192)</f>
        <v/>
      </c>
      <c r="H192" s="79">
        <f>IF(A192="","",IF(G192&lt;0,"⚠️ NEGATIVO",IF(G192=0,"⛔ ZERADO",IF(G192&lt;5,"📦 BAIXO","✅ OK"))))</f>
        <v/>
      </c>
    </row>
    <row r="193" ht="18" customHeight="1" s="109">
      <c r="A193" s="8" t="n"/>
      <c r="B193" s="8" t="n"/>
      <c r="C193" s="8" t="n"/>
      <c r="D193" s="33" t="n"/>
      <c r="E193" s="33" t="n"/>
      <c r="F193" s="33" t="n"/>
      <c r="G193" s="77">
        <f>IF(A193="","",D193-E193-F193)</f>
        <v/>
      </c>
      <c r="H193" s="78">
        <f>IF(A193="","",IF(G193&lt;0,"⚠️ NEGATIVO",IF(G193=0,"⛔ ZERADO",IF(G193&lt;5,"📦 BAIXO","✅ OK"))))</f>
        <v/>
      </c>
    </row>
    <row r="194" ht="18" customHeight="1" s="109">
      <c r="A194" s="12" t="n"/>
      <c r="B194" s="12" t="n"/>
      <c r="C194" s="12" t="n"/>
      <c r="D194" s="46" t="n"/>
      <c r="E194" s="46" t="n"/>
      <c r="F194" s="46" t="n"/>
      <c r="G194" s="77">
        <f>IF(A194="","",D194-E194-F194)</f>
        <v/>
      </c>
      <c r="H194" s="79">
        <f>IF(A194="","",IF(G194&lt;0,"⚠️ NEGATIVO",IF(G194=0,"⛔ ZERADO",IF(G194&lt;5,"📦 BAIXO","✅ OK"))))</f>
        <v/>
      </c>
    </row>
    <row r="195" ht="18" customHeight="1" s="109">
      <c r="A195" s="8" t="n"/>
      <c r="B195" s="8" t="n"/>
      <c r="C195" s="8" t="n"/>
      <c r="D195" s="33" t="n"/>
      <c r="E195" s="33" t="n"/>
      <c r="F195" s="33" t="n"/>
      <c r="G195" s="77">
        <f>IF(A195="","",D195-E195-F195)</f>
        <v/>
      </c>
      <c r="H195" s="78">
        <f>IF(A195="","",IF(G195&lt;0,"⚠️ NEGATIVO",IF(G195=0,"⛔ ZERADO",IF(G195&lt;5,"📦 BAIXO","✅ OK"))))</f>
        <v/>
      </c>
    </row>
    <row r="196" ht="18" customHeight="1" s="109">
      <c r="A196" s="12" t="n"/>
      <c r="B196" s="12" t="n"/>
      <c r="C196" s="12" t="n"/>
      <c r="D196" s="46" t="n"/>
      <c r="E196" s="46" t="n"/>
      <c r="F196" s="46" t="n"/>
      <c r="G196" s="77">
        <f>IF(A196="","",D196-E196-F196)</f>
        <v/>
      </c>
      <c r="H196" s="79">
        <f>IF(A196="","",IF(G196&lt;0,"⚠️ NEGATIVO",IF(G196=0,"⛔ ZERADO",IF(G196&lt;5,"📦 BAIXO","✅ OK"))))</f>
        <v/>
      </c>
    </row>
    <row r="197" ht="18" customHeight="1" s="109">
      <c r="A197" s="8" t="n"/>
      <c r="B197" s="8" t="n"/>
      <c r="C197" s="8" t="n"/>
      <c r="D197" s="33" t="n"/>
      <c r="E197" s="33" t="n"/>
      <c r="F197" s="33" t="n"/>
      <c r="G197" s="77">
        <f>IF(A197="","",D197-E197-F197)</f>
        <v/>
      </c>
      <c r="H197" s="78">
        <f>IF(A197="","",IF(G197&lt;0,"⚠️ NEGATIVO",IF(G197=0,"⛔ ZERADO",IF(G197&lt;5,"📦 BAIXO","✅ OK"))))</f>
        <v/>
      </c>
    </row>
    <row r="198" ht="18" customHeight="1" s="109">
      <c r="A198" s="12" t="n"/>
      <c r="B198" s="12" t="n"/>
      <c r="C198" s="12" t="n"/>
      <c r="D198" s="46" t="n"/>
      <c r="E198" s="46" t="n"/>
      <c r="F198" s="46" t="n"/>
      <c r="G198" s="77">
        <f>IF(A198="","",D198-E198-F198)</f>
        <v/>
      </c>
      <c r="H198" s="79">
        <f>IF(A198="","",IF(G198&lt;0,"⚠️ NEGATIVO",IF(G198=0,"⛔ ZERADO",IF(G198&lt;5,"📦 BAIXO","✅ OK"))))</f>
        <v/>
      </c>
    </row>
    <row r="199" ht="18" customHeight="1" s="109">
      <c r="A199" s="8" t="n"/>
      <c r="B199" s="8" t="n"/>
      <c r="C199" s="8" t="n"/>
      <c r="D199" s="33" t="n"/>
      <c r="E199" s="33" t="n"/>
      <c r="F199" s="33" t="n"/>
      <c r="G199" s="77">
        <f>IF(A199="","",D199-E199-F199)</f>
        <v/>
      </c>
      <c r="H199" s="78">
        <f>IF(A199="","",IF(G199&lt;0,"⚠️ NEGATIVO",IF(G199=0,"⛔ ZERADO",IF(G199&lt;5,"📦 BAIXO","✅ OK"))))</f>
        <v/>
      </c>
    </row>
    <row r="200" ht="18" customHeight="1" s="109">
      <c r="A200" s="12" t="n"/>
      <c r="B200" s="12" t="n"/>
      <c r="C200" s="12" t="n"/>
      <c r="D200" s="46" t="n"/>
      <c r="E200" s="46" t="n"/>
      <c r="F200" s="46" t="n"/>
      <c r="G200" s="77">
        <f>IF(A200="","",D200-E200-F200)</f>
        <v/>
      </c>
      <c r="H200" s="79">
        <f>IF(A200="","",IF(G200&lt;0,"⚠️ NEGATIVO",IF(G200=0,"⛔ ZERADO",IF(G200&lt;5,"📦 BAIXO","✅ OK"))))</f>
        <v/>
      </c>
    </row>
    <row r="201" ht="18" customHeight="1" s="109">
      <c r="A201" s="8" t="n"/>
      <c r="B201" s="8" t="n"/>
      <c r="C201" s="8" t="n"/>
      <c r="D201" s="33" t="n"/>
      <c r="E201" s="33" t="n"/>
      <c r="F201" s="33" t="n"/>
      <c r="G201" s="77">
        <f>IF(A201="","",D201-E201-F201)</f>
        <v/>
      </c>
      <c r="H201" s="78">
        <f>IF(A201="","",IF(G201&lt;0,"⚠️ NEGATIVO",IF(G201=0,"⛔ ZERADO",IF(G201&lt;5,"📦 BAIXO","✅ OK"))))</f>
        <v/>
      </c>
    </row>
    <row r="202" ht="18" customHeight="1" s="109">
      <c r="A202" s="12" t="n"/>
      <c r="B202" s="12" t="n"/>
      <c r="C202" s="12" t="n"/>
      <c r="D202" s="46" t="n"/>
      <c r="E202" s="46" t="n"/>
      <c r="F202" s="46" t="n"/>
      <c r="G202" s="77">
        <f>IF(A202="","",D202-E202-F202)</f>
        <v/>
      </c>
      <c r="H202" s="79">
        <f>IF(A202="","",IF(G202&lt;0,"⚠️ NEGATIVO",IF(G202=0,"⛔ ZERADO",IF(G202&lt;5,"📦 BAIXO","✅ OK"))))</f>
        <v/>
      </c>
    </row>
    <row r="203" ht="18" customHeight="1" s="109">
      <c r="A203" s="8" t="n"/>
      <c r="B203" s="8" t="n"/>
      <c r="C203" s="8" t="n"/>
      <c r="D203" s="33" t="n"/>
      <c r="E203" s="33" t="n"/>
      <c r="F203" s="33" t="n"/>
      <c r="G203" s="77">
        <f>IF(A203="","",D203-E203-F203)</f>
        <v/>
      </c>
      <c r="H203" s="78">
        <f>IF(A203="","",IF(G203&lt;0,"⚠️ NEGATIVO",IF(G203=0,"⛔ ZERADO",IF(G203&lt;5,"📦 BAIXO","✅ OK"))))</f>
        <v/>
      </c>
    </row>
    <row r="204" ht="18" customHeight="1" s="109">
      <c r="A204" s="12" t="n"/>
      <c r="B204" s="12" t="n"/>
      <c r="C204" s="12" t="n"/>
      <c r="D204" s="46" t="n"/>
      <c r="E204" s="46" t="n"/>
      <c r="F204" s="46" t="n"/>
      <c r="G204" s="77">
        <f>IF(A204="","",D204-E204-F204)</f>
        <v/>
      </c>
      <c r="H204" s="79">
        <f>IF(A204="","",IF(G204&lt;0,"⚠️ NEGATIVO",IF(G204=0,"⛔ ZERADO",IF(G204&lt;5,"📦 BAIXO","✅ OK"))))</f>
        <v/>
      </c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4" customWidth="1" style="109" min="2" max="6"/>
    <col width="8.710000000000001" customWidth="1" style="109" min="7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3">
      <c r="A3" s="0" t="inlineStr">
        <is>
          <t>💡 Horas × R$/h de desgaste (ver Parâmetros)</t>
        </is>
      </c>
    </row>
    <row r="4" ht="21.75" customHeight="1" s="109">
      <c r="A4" s="7" t="inlineStr">
        <is>
          <t>Mês</t>
        </is>
      </c>
      <c r="B4" s="7" t="inlineStr">
        <is>
          <t>Máquina 1 (h)</t>
        </is>
      </c>
      <c r="C4" s="7" t="inlineStr">
        <is>
          <t>Máquina 2 (h)</t>
        </is>
      </c>
      <c r="D4" s="7" t="inlineStr">
        <is>
          <t>Máquina 3 (h)</t>
        </is>
      </c>
      <c r="E4" s="7" t="inlineStr">
        <is>
          <t>Total Horas</t>
        </is>
      </c>
      <c r="F4" s="7" t="inlineStr">
        <is>
          <t>Desgaste (R$)</t>
        </is>
      </c>
    </row>
    <row r="5" ht="18" customHeight="1" s="109">
      <c r="A5" s="15" t="inlineStr">
        <is>
          <t>Jan/26</t>
        </is>
      </c>
      <c r="B5" s="91" t="n">
        <v>0</v>
      </c>
      <c r="C5" s="91" t="n">
        <v>0</v>
      </c>
      <c r="D5" s="91" t="n">
        <v>0</v>
      </c>
      <c r="E5" s="80">
        <f>B5+C5+D5</f>
        <v/>
      </c>
      <c r="F5" s="39">
        <f>E5*'⚙️ Parâmetros'!B9</f>
        <v/>
      </c>
    </row>
    <row r="6" ht="18" customHeight="1" s="109">
      <c r="A6" s="19" t="inlineStr">
        <is>
          <t>Fev/26</t>
        </is>
      </c>
      <c r="B6" s="91" t="n">
        <v>0</v>
      </c>
      <c r="C6" s="91" t="n">
        <v>0</v>
      </c>
      <c r="D6" s="91" t="n">
        <v>0</v>
      </c>
      <c r="E6" s="80">
        <f>B6+C6+D6</f>
        <v/>
      </c>
      <c r="F6" s="39">
        <f>E6*'⚙️ Parâmetros'!B9</f>
        <v/>
      </c>
    </row>
    <row r="7" ht="18" customHeight="1" s="109">
      <c r="A7" s="15" t="inlineStr">
        <is>
          <t>Mar/26</t>
        </is>
      </c>
      <c r="B7" s="91" t="n">
        <v>0</v>
      </c>
      <c r="C7" s="91" t="n">
        <v>0</v>
      </c>
      <c r="D7" s="91" t="n">
        <v>0</v>
      </c>
      <c r="E7" s="80">
        <f>B7+C7+D7</f>
        <v/>
      </c>
      <c r="F7" s="39">
        <f>E7*'⚙️ Parâmetros'!B9</f>
        <v/>
      </c>
    </row>
    <row r="8" ht="18" customHeight="1" s="109">
      <c r="A8" s="19" t="inlineStr">
        <is>
          <t>Abr/26</t>
        </is>
      </c>
      <c r="B8" s="91" t="n">
        <v>0</v>
      </c>
      <c r="C8" s="91" t="n">
        <v>0</v>
      </c>
      <c r="D8" s="91" t="n">
        <v>0</v>
      </c>
      <c r="E8" s="80">
        <f>B8+C8+D8</f>
        <v/>
      </c>
      <c r="F8" s="39">
        <f>E8*'⚙️ Parâmetros'!B9</f>
        <v/>
      </c>
    </row>
    <row r="9" ht="18" customHeight="1" s="109">
      <c r="A9" s="15" t="inlineStr">
        <is>
          <t>Mai/26</t>
        </is>
      </c>
      <c r="B9" s="91" t="n">
        <v>0</v>
      </c>
      <c r="C9" s="91" t="n">
        <v>0</v>
      </c>
      <c r="D9" s="91" t="n">
        <v>0</v>
      </c>
      <c r="E9" s="80">
        <f>B9+C9+D9</f>
        <v/>
      </c>
      <c r="F9" s="39">
        <f>E9*'⚙️ Parâmetros'!B9</f>
        <v/>
      </c>
    </row>
    <row r="10" ht="18" customHeight="1" s="109">
      <c r="A10" s="19" t="inlineStr">
        <is>
          <t>Jun/26</t>
        </is>
      </c>
      <c r="B10" s="91" t="n">
        <v>0</v>
      </c>
      <c r="C10" s="91" t="n">
        <v>0</v>
      </c>
      <c r="D10" s="91" t="n">
        <v>0</v>
      </c>
      <c r="E10" s="80">
        <f>B10+C10+D10</f>
        <v/>
      </c>
      <c r="F10" s="39">
        <f>E10*'⚙️ Parâmetros'!B9</f>
        <v/>
      </c>
    </row>
    <row r="11" ht="18" customHeight="1" s="109">
      <c r="A11" s="15" t="inlineStr">
        <is>
          <t>Jul/26</t>
        </is>
      </c>
      <c r="B11" s="91" t="n">
        <v>0</v>
      </c>
      <c r="C11" s="91" t="n">
        <v>0</v>
      </c>
      <c r="D11" s="91" t="n">
        <v>0</v>
      </c>
      <c r="E11" s="80">
        <f>B11+C11+D11</f>
        <v/>
      </c>
      <c r="F11" s="39">
        <f>E11*'⚙️ Parâmetros'!B9</f>
        <v/>
      </c>
    </row>
    <row r="12" ht="18" customHeight="1" s="109">
      <c r="A12" s="19" t="inlineStr">
        <is>
          <t>Ago/26</t>
        </is>
      </c>
      <c r="B12" s="91" t="n">
        <v>0</v>
      </c>
      <c r="C12" s="91" t="n">
        <v>0</v>
      </c>
      <c r="D12" s="91" t="n">
        <v>0</v>
      </c>
      <c r="E12" s="80">
        <f>B12+C12+D12</f>
        <v/>
      </c>
      <c r="F12" s="39">
        <f>E12*'⚙️ Parâmetros'!B9</f>
        <v/>
      </c>
    </row>
    <row r="13" ht="18" customHeight="1" s="109">
      <c r="A13" s="15" t="inlineStr">
        <is>
          <t>Set/26</t>
        </is>
      </c>
      <c r="B13" s="91" t="n">
        <v>0</v>
      </c>
      <c r="C13" s="91" t="n">
        <v>0</v>
      </c>
      <c r="D13" s="91" t="n">
        <v>0</v>
      </c>
      <c r="E13" s="80">
        <f>B13+C13+D13</f>
        <v/>
      </c>
      <c r="F13" s="39">
        <f>E13*'⚙️ Parâmetros'!B9</f>
        <v/>
      </c>
    </row>
    <row r="14" ht="18" customHeight="1" s="109">
      <c r="A14" s="19" t="inlineStr">
        <is>
          <t>Out/26</t>
        </is>
      </c>
      <c r="B14" s="91" t="n">
        <v>0</v>
      </c>
      <c r="C14" s="91" t="n">
        <v>0</v>
      </c>
      <c r="D14" s="91" t="n">
        <v>0</v>
      </c>
      <c r="E14" s="80">
        <f>B14+C14+D14</f>
        <v/>
      </c>
      <c r="F14" s="39">
        <f>E14*'⚙️ Parâmetros'!B9</f>
        <v/>
      </c>
    </row>
    <row r="15" ht="18" customHeight="1" s="109">
      <c r="A15" s="15" t="inlineStr">
        <is>
          <t>Nov/26</t>
        </is>
      </c>
      <c r="B15" s="91" t="n">
        <v>0</v>
      </c>
      <c r="C15" s="91" t="n">
        <v>0</v>
      </c>
      <c r="D15" s="91" t="n">
        <v>0</v>
      </c>
      <c r="E15" s="80">
        <f>B15+C15+D15</f>
        <v/>
      </c>
      <c r="F15" s="39">
        <f>E15*'⚙️ Parâmetros'!B9</f>
        <v/>
      </c>
    </row>
    <row r="16" ht="18" customHeight="1" s="109">
      <c r="A16" s="19" t="inlineStr">
        <is>
          <t>Dez/26</t>
        </is>
      </c>
      <c r="B16" s="91" t="n">
        <v>0</v>
      </c>
      <c r="C16" s="91" t="n">
        <v>0</v>
      </c>
      <c r="D16" s="91" t="n">
        <v>0</v>
      </c>
      <c r="E16" s="80">
        <f>B16+C16+D16</f>
        <v/>
      </c>
      <c r="F16" s="39">
        <f>E16*'⚙️ Parâmetros'!B9</f>
        <v/>
      </c>
    </row>
    <row r="17">
      <c r="A17" s="81" t="inlineStr">
        <is>
          <t>TOTAL ANO</t>
        </is>
      </c>
      <c r="B17" s="82">
        <f>SUM(B5:B16)</f>
        <v/>
      </c>
      <c r="C17" s="82">
        <f>SUM(C5:C16)</f>
        <v/>
      </c>
      <c r="D17" s="82">
        <f>SUM(D5:D16)</f>
        <v/>
      </c>
      <c r="E17" s="83">
        <f>SUM(E5:E16)</f>
        <v/>
      </c>
      <c r="F17" s="84">
        <f>SUM(F5:F16)</f>
        <v/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A2:F2"/>
    <mergeCell ref="B1:F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09" min="1" max="1"/>
    <col width="16" customWidth="1" style="109" min="2" max="2"/>
    <col width="22" customWidth="1" style="109" min="3" max="3"/>
    <col width="24" customWidth="1" style="109" min="4" max="4"/>
    <col width="12" customWidth="1" style="109" min="5" max="7"/>
    <col width="14" customWidth="1" style="109" min="8" max="8"/>
    <col width="8.710000000000001" customWidth="1" style="109" min="9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21.75" customHeight="1" s="109">
      <c r="A4" s="7" t="inlineStr">
        <is>
          <t>SKU</t>
        </is>
      </c>
      <c r="B4" s="7" t="inlineStr">
        <is>
          <t>Banca</t>
        </is>
      </c>
      <c r="C4" s="7" t="inlineStr">
        <is>
          <t>Produto</t>
        </is>
      </c>
      <c r="D4" s="7" t="inlineStr">
        <is>
          <t>Data Envio</t>
        </is>
      </c>
      <c r="E4" s="7" t="inlineStr">
        <is>
          <t>Qtd Enviada</t>
        </is>
      </c>
      <c r="F4" s="7" t="inlineStr">
        <is>
          <t>Qtd Vendida</t>
        </is>
      </c>
      <c r="G4" s="7" t="inlineStr">
        <is>
          <t>Saldo</t>
        </is>
      </c>
      <c r="H4" s="7" t="inlineStr">
        <is>
          <t>Receita (R$)</t>
        </is>
      </c>
      <c r="I4" s="0" t="inlineStr">
        <is>
          <t>Preço Unit.</t>
        </is>
      </c>
    </row>
    <row r="5" ht="18" customHeight="1" s="109">
      <c r="A5" s="8" t="n"/>
      <c r="B5" s="8" t="n"/>
      <c r="C5" s="8" t="n"/>
      <c r="D5" s="70" t="n"/>
      <c r="E5" s="8" t="n"/>
      <c r="F5" s="8" t="n"/>
      <c r="G5" s="77">
        <f>IF(A5="","",E5-F5)</f>
        <v/>
      </c>
      <c r="H5" s="39">
        <f>IF(OR(F5="",I5=""),"",F5*I5)</f>
        <v/>
      </c>
    </row>
    <row r="6" ht="18" customHeight="1" s="109">
      <c r="A6" s="12" t="n"/>
      <c r="B6" s="12" t="n"/>
      <c r="C6" s="12" t="n"/>
      <c r="D6" s="72" t="n"/>
      <c r="E6" s="12" t="n"/>
      <c r="F6" s="12" t="n"/>
      <c r="G6" s="77">
        <f>IF(A6="","",E6-F6)</f>
        <v/>
      </c>
      <c r="H6" s="39">
        <f>IF(OR(F6="",I6=""),"",F6*I6)</f>
        <v/>
      </c>
    </row>
    <row r="7" ht="18" customHeight="1" s="109">
      <c r="A7" s="8" t="n"/>
      <c r="B7" s="8" t="n"/>
      <c r="C7" s="8" t="n"/>
      <c r="D7" s="70" t="n"/>
      <c r="E7" s="8" t="n"/>
      <c r="F7" s="8" t="n"/>
      <c r="G7" s="77">
        <f>IF(A7="","",E7-F7)</f>
        <v/>
      </c>
      <c r="H7" s="39">
        <f>IF(OR(F7="",I7=""),"",F7*I7)</f>
        <v/>
      </c>
    </row>
    <row r="8" ht="18" customHeight="1" s="109">
      <c r="A8" s="12" t="n"/>
      <c r="B8" s="12" t="n"/>
      <c r="C8" s="12" t="n"/>
      <c r="D8" s="72" t="n"/>
      <c r="E8" s="12" t="n"/>
      <c r="F8" s="12" t="n"/>
      <c r="G8" s="77">
        <f>IF(A8="","",E8-F8)</f>
        <v/>
      </c>
      <c r="H8" s="39">
        <f>IF(OR(F8="",I8=""),"",F8*I8)</f>
        <v/>
      </c>
    </row>
    <row r="9" ht="18" customHeight="1" s="109">
      <c r="A9" s="8" t="n"/>
      <c r="B9" s="8" t="n"/>
      <c r="C9" s="8" t="n"/>
      <c r="D9" s="70" t="n"/>
      <c r="E9" s="8" t="n"/>
      <c r="F9" s="8" t="n"/>
      <c r="G9" s="77">
        <f>IF(A9="","",E9-F9)</f>
        <v/>
      </c>
      <c r="H9" s="39">
        <f>IF(OR(F9="",I9=""),"",F9*I9)</f>
        <v/>
      </c>
    </row>
    <row r="10" ht="18" customHeight="1" s="109">
      <c r="A10" s="12" t="n"/>
      <c r="B10" s="12" t="n"/>
      <c r="C10" s="12" t="n"/>
      <c r="D10" s="72" t="n"/>
      <c r="E10" s="12" t="n"/>
      <c r="F10" s="12" t="n"/>
      <c r="G10" s="77">
        <f>IF(A10="","",E10-F10)</f>
        <v/>
      </c>
      <c r="H10" s="39">
        <f>IF(OR(F10="",I10=""),"",F10*I10)</f>
        <v/>
      </c>
    </row>
    <row r="11" ht="18" customHeight="1" s="109">
      <c r="A11" s="8" t="n"/>
      <c r="B11" s="8" t="n"/>
      <c r="C11" s="8" t="n"/>
      <c r="D11" s="70" t="n"/>
      <c r="E11" s="8" t="n"/>
      <c r="F11" s="8" t="n"/>
      <c r="G11" s="77">
        <f>IF(A11="","",E11-F11)</f>
        <v/>
      </c>
      <c r="H11" s="39">
        <f>IF(OR(F11="",I11=""),"",F11*I11)</f>
        <v/>
      </c>
    </row>
    <row r="12" ht="18" customHeight="1" s="109">
      <c r="A12" s="12" t="n"/>
      <c r="B12" s="12" t="n"/>
      <c r="C12" s="12" t="n"/>
      <c r="D12" s="72" t="n"/>
      <c r="E12" s="12" t="n"/>
      <c r="F12" s="12" t="n"/>
      <c r="G12" s="77">
        <f>IF(A12="","",E12-F12)</f>
        <v/>
      </c>
      <c r="H12" s="39">
        <f>IF(OR(F12="",I12=""),"",F12*I12)</f>
        <v/>
      </c>
    </row>
    <row r="13" ht="18" customHeight="1" s="109">
      <c r="A13" s="8" t="n"/>
      <c r="B13" s="8" t="n"/>
      <c r="C13" s="8" t="n"/>
      <c r="D13" s="70" t="n"/>
      <c r="E13" s="8" t="n"/>
      <c r="F13" s="8" t="n"/>
      <c r="G13" s="77">
        <f>IF(A13="","",E13-F13)</f>
        <v/>
      </c>
      <c r="H13" s="39">
        <f>IF(OR(F13="",I13=""),"",F13*I13)</f>
        <v/>
      </c>
    </row>
    <row r="14" ht="18" customHeight="1" s="109">
      <c r="A14" s="12" t="n"/>
      <c r="B14" s="12" t="n"/>
      <c r="C14" s="12" t="n"/>
      <c r="D14" s="72" t="n"/>
      <c r="E14" s="12" t="n"/>
      <c r="F14" s="12" t="n"/>
      <c r="G14" s="77">
        <f>IF(A14="","",E14-F14)</f>
        <v/>
      </c>
      <c r="H14" s="39">
        <f>IF(OR(F14="",I14=""),"",F14*I14)</f>
        <v/>
      </c>
    </row>
    <row r="15" ht="18" customHeight="1" s="109">
      <c r="A15" s="8" t="n"/>
      <c r="B15" s="8" t="n"/>
      <c r="C15" s="8" t="n"/>
      <c r="D15" s="70" t="n"/>
      <c r="E15" s="8" t="n"/>
      <c r="F15" s="8" t="n"/>
      <c r="G15" s="77">
        <f>IF(A15="","",E15-F15)</f>
        <v/>
      </c>
      <c r="H15" s="39">
        <f>IF(OR(F15="",I15=""),"",F15*I15)</f>
        <v/>
      </c>
    </row>
    <row r="16" ht="18" customHeight="1" s="109">
      <c r="A16" s="12" t="n"/>
      <c r="B16" s="12" t="n"/>
      <c r="C16" s="12" t="n"/>
      <c r="D16" s="72" t="n"/>
      <c r="E16" s="12" t="n"/>
      <c r="F16" s="12" t="n"/>
      <c r="G16" s="77">
        <f>IF(A16="","",E16-F16)</f>
        <v/>
      </c>
      <c r="H16" s="39">
        <f>IF(OR(F16="",I16=""),"",F16*I16)</f>
        <v/>
      </c>
    </row>
    <row r="17" ht="18" customHeight="1" s="109">
      <c r="A17" s="8" t="n"/>
      <c r="B17" s="8" t="n"/>
      <c r="C17" s="8" t="n"/>
      <c r="D17" s="70" t="n"/>
      <c r="E17" s="8" t="n"/>
      <c r="F17" s="8" t="n"/>
      <c r="G17" s="77">
        <f>IF(A17="","",E17-F17)</f>
        <v/>
      </c>
      <c r="H17" s="39">
        <f>IF(OR(F17="",I17=""),"",F17*I17)</f>
        <v/>
      </c>
    </row>
    <row r="18" ht="18" customHeight="1" s="109">
      <c r="A18" s="12" t="n"/>
      <c r="B18" s="12" t="n"/>
      <c r="C18" s="12" t="n"/>
      <c r="D18" s="72" t="n"/>
      <c r="E18" s="12" t="n"/>
      <c r="F18" s="12" t="n"/>
      <c r="G18" s="77">
        <f>IF(A18="","",E18-F18)</f>
        <v/>
      </c>
      <c r="H18" s="39">
        <f>IF(OR(F18="",I18=""),"",F18*I18)</f>
        <v/>
      </c>
    </row>
    <row r="19" ht="18" customHeight="1" s="109">
      <c r="A19" s="8" t="n"/>
      <c r="B19" s="8" t="n"/>
      <c r="C19" s="8" t="n"/>
      <c r="D19" s="70" t="n"/>
      <c r="E19" s="8" t="n"/>
      <c r="F19" s="8" t="n"/>
      <c r="G19" s="77">
        <f>IF(A19="","",E19-F19)</f>
        <v/>
      </c>
      <c r="H19" s="39">
        <f>IF(OR(F19="",I19=""),"",F19*I19)</f>
        <v/>
      </c>
    </row>
    <row r="20" ht="18" customHeight="1" s="109">
      <c r="A20" s="12" t="n"/>
      <c r="B20" s="12" t="n"/>
      <c r="C20" s="12" t="n"/>
      <c r="D20" s="72" t="n"/>
      <c r="E20" s="12" t="n"/>
      <c r="F20" s="12" t="n"/>
      <c r="G20" s="77">
        <f>IF(A20="","",E20-F20)</f>
        <v/>
      </c>
      <c r="H20" s="39">
        <f>IF(OR(F20="",I20=""),"",F20*I20)</f>
        <v/>
      </c>
    </row>
    <row r="21" ht="18" customHeight="1" s="109">
      <c r="A21" s="8" t="n"/>
      <c r="B21" s="8" t="n"/>
      <c r="C21" s="8" t="n"/>
      <c r="D21" s="70" t="n"/>
      <c r="E21" s="8" t="n"/>
      <c r="F21" s="8" t="n"/>
      <c r="G21" s="77">
        <f>IF(A21="","",E21-F21)</f>
        <v/>
      </c>
      <c r="H21" s="39">
        <f>IF(OR(F21="",I21=""),"",F21*I21)</f>
        <v/>
      </c>
    </row>
    <row r="22" ht="18" customHeight="1" s="109">
      <c r="A22" s="12" t="n"/>
      <c r="B22" s="12" t="n"/>
      <c r="C22" s="12" t="n"/>
      <c r="D22" s="72" t="n"/>
      <c r="E22" s="12" t="n"/>
      <c r="F22" s="12" t="n"/>
      <c r="G22" s="77">
        <f>IF(A22="","",E22-F22)</f>
        <v/>
      </c>
      <c r="H22" s="39">
        <f>IF(OR(F22="",I22=""),"",F22*I22)</f>
        <v/>
      </c>
    </row>
    <row r="23" ht="18" customHeight="1" s="109">
      <c r="A23" s="8" t="n"/>
      <c r="B23" s="8" t="n"/>
      <c r="C23" s="8" t="n"/>
      <c r="D23" s="70" t="n"/>
      <c r="E23" s="8" t="n"/>
      <c r="F23" s="8" t="n"/>
      <c r="G23" s="77">
        <f>IF(A23="","",E23-F23)</f>
        <v/>
      </c>
      <c r="H23" s="39">
        <f>IF(OR(F23="",I23=""),"",F23*I23)</f>
        <v/>
      </c>
    </row>
    <row r="24" ht="18" customHeight="1" s="109">
      <c r="A24" s="12" t="n"/>
      <c r="B24" s="12" t="n"/>
      <c r="C24" s="12" t="n"/>
      <c r="D24" s="72" t="n"/>
      <c r="E24" s="12" t="n"/>
      <c r="F24" s="12" t="n"/>
      <c r="G24" s="77">
        <f>IF(A24="","",E24-F24)</f>
        <v/>
      </c>
      <c r="H24" s="39">
        <f>IF(OR(F24="",I24=""),"",F24*I24)</f>
        <v/>
      </c>
    </row>
    <row r="25" ht="18" customHeight="1" s="109">
      <c r="A25" s="8" t="n"/>
      <c r="B25" s="8" t="n"/>
      <c r="C25" s="8" t="n"/>
      <c r="D25" s="70" t="n"/>
      <c r="E25" s="8" t="n"/>
      <c r="F25" s="8" t="n"/>
      <c r="G25" s="77">
        <f>IF(A25="","",E25-F25)</f>
        <v/>
      </c>
      <c r="H25" s="39">
        <f>IF(OR(F25="",I25=""),"",F25*I25)</f>
        <v/>
      </c>
    </row>
    <row r="26" ht="18" customHeight="1" s="109">
      <c r="A26" s="12" t="n"/>
      <c r="B26" s="12" t="n"/>
      <c r="C26" s="12" t="n"/>
      <c r="D26" s="72" t="n"/>
      <c r="E26" s="12" t="n"/>
      <c r="F26" s="12" t="n"/>
      <c r="G26" s="77">
        <f>IF(A26="","",E26-F26)</f>
        <v/>
      </c>
      <c r="H26" s="39">
        <f>IF(OR(F26="",I26=""),"",F26*I26)</f>
        <v/>
      </c>
    </row>
    <row r="27" ht="18" customHeight="1" s="109">
      <c r="A27" s="8" t="n"/>
      <c r="B27" s="8" t="n"/>
      <c r="C27" s="8" t="n"/>
      <c r="D27" s="70" t="n"/>
      <c r="E27" s="8" t="n"/>
      <c r="F27" s="8" t="n"/>
      <c r="G27" s="77">
        <f>IF(A27="","",E27-F27)</f>
        <v/>
      </c>
      <c r="H27" s="39">
        <f>IF(OR(F27="",I27=""),"",F27*I27)</f>
        <v/>
      </c>
    </row>
    <row r="28" ht="18" customHeight="1" s="109">
      <c r="A28" s="12" t="n"/>
      <c r="B28" s="12" t="n"/>
      <c r="C28" s="12" t="n"/>
      <c r="D28" s="72" t="n"/>
      <c r="E28" s="12" t="n"/>
      <c r="F28" s="12" t="n"/>
      <c r="G28" s="77">
        <f>IF(A28="","",E28-F28)</f>
        <v/>
      </c>
      <c r="H28" s="39">
        <f>IF(OR(F28="",I28=""),"",F28*I28)</f>
        <v/>
      </c>
    </row>
    <row r="29" ht="18" customHeight="1" s="109">
      <c r="A29" s="8" t="n"/>
      <c r="B29" s="8" t="n"/>
      <c r="C29" s="8" t="n"/>
      <c r="D29" s="70" t="n"/>
      <c r="E29" s="8" t="n"/>
      <c r="F29" s="8" t="n"/>
      <c r="G29" s="77">
        <f>IF(A29="","",E29-F29)</f>
        <v/>
      </c>
      <c r="H29" s="39">
        <f>IF(OR(F29="",I29=""),"",F29*I29)</f>
        <v/>
      </c>
    </row>
    <row r="30" ht="18" customHeight="1" s="109">
      <c r="A30" s="12" t="n"/>
      <c r="B30" s="12" t="n"/>
      <c r="C30" s="12" t="n"/>
      <c r="D30" s="72" t="n"/>
      <c r="E30" s="12" t="n"/>
      <c r="F30" s="12" t="n"/>
      <c r="G30" s="77">
        <f>IF(A30="","",E30-F30)</f>
        <v/>
      </c>
      <c r="H30" s="39">
        <f>IF(OR(F30="",I30=""),"",F30*I30)</f>
        <v/>
      </c>
    </row>
    <row r="31" ht="18" customHeight="1" s="109">
      <c r="A31" s="8" t="n"/>
      <c r="B31" s="8" t="n"/>
      <c r="C31" s="8" t="n"/>
      <c r="D31" s="70" t="n"/>
      <c r="E31" s="8" t="n"/>
      <c r="F31" s="8" t="n"/>
      <c r="G31" s="77">
        <f>IF(A31="","",E31-F31)</f>
        <v/>
      </c>
      <c r="H31" s="39">
        <f>IF(OR(F31="",I31=""),"",F31*I31)</f>
        <v/>
      </c>
    </row>
    <row r="32" ht="18" customHeight="1" s="109">
      <c r="A32" s="12" t="n"/>
      <c r="B32" s="12" t="n"/>
      <c r="C32" s="12" t="n"/>
      <c r="D32" s="72" t="n"/>
      <c r="E32" s="12" t="n"/>
      <c r="F32" s="12" t="n"/>
      <c r="G32" s="77">
        <f>IF(A32="","",E32-F32)</f>
        <v/>
      </c>
      <c r="H32" s="39">
        <f>IF(OR(F32="",I32=""),"",F32*I32)</f>
        <v/>
      </c>
    </row>
    <row r="33" ht="18" customHeight="1" s="109">
      <c r="A33" s="8" t="n"/>
      <c r="B33" s="8" t="n"/>
      <c r="C33" s="8" t="n"/>
      <c r="D33" s="70" t="n"/>
      <c r="E33" s="8" t="n"/>
      <c r="F33" s="8" t="n"/>
      <c r="G33" s="77">
        <f>IF(A33="","",E33-F33)</f>
        <v/>
      </c>
      <c r="H33" s="39">
        <f>IF(OR(F33="",I33=""),"",F33*I33)</f>
        <v/>
      </c>
    </row>
    <row r="34" ht="18" customHeight="1" s="109">
      <c r="A34" s="12" t="n"/>
      <c r="B34" s="12" t="n"/>
      <c r="C34" s="12" t="n"/>
      <c r="D34" s="72" t="n"/>
      <c r="E34" s="12" t="n"/>
      <c r="F34" s="12" t="n"/>
      <c r="G34" s="77">
        <f>IF(A34="","",E34-F34)</f>
        <v/>
      </c>
      <c r="H34" s="39">
        <f>IF(OR(F34="",I34=""),"",F34*I34)</f>
        <v/>
      </c>
    </row>
    <row r="35" ht="18" customHeight="1" s="109">
      <c r="A35" s="8" t="n"/>
      <c r="B35" s="8" t="n"/>
      <c r="C35" s="8" t="n"/>
      <c r="D35" s="70" t="n"/>
      <c r="E35" s="8" t="n"/>
      <c r="F35" s="8" t="n"/>
      <c r="G35" s="77">
        <f>IF(A35="","",E35-F35)</f>
        <v/>
      </c>
      <c r="H35" s="39">
        <f>IF(OR(F35="",I35=""),"",F35*I35)</f>
        <v/>
      </c>
    </row>
    <row r="36" ht="18" customHeight="1" s="109">
      <c r="A36" s="12" t="n"/>
      <c r="B36" s="12" t="n"/>
      <c r="C36" s="12" t="n"/>
      <c r="D36" s="72" t="n"/>
      <c r="E36" s="12" t="n"/>
      <c r="F36" s="12" t="n"/>
      <c r="G36" s="77">
        <f>IF(A36="","",E36-F36)</f>
        <v/>
      </c>
      <c r="H36" s="39">
        <f>IF(OR(F36="",I36=""),"",F36*I36)</f>
        <v/>
      </c>
    </row>
    <row r="37" ht="18" customHeight="1" s="109">
      <c r="A37" s="8" t="n"/>
      <c r="B37" s="8" t="n"/>
      <c r="C37" s="8" t="n"/>
      <c r="D37" s="70" t="n"/>
      <c r="E37" s="8" t="n"/>
      <c r="F37" s="8" t="n"/>
      <c r="G37" s="77">
        <f>IF(A37="","",E37-F37)</f>
        <v/>
      </c>
      <c r="H37" s="39">
        <f>IF(OR(F37="",I37=""),"",F37*I37)</f>
        <v/>
      </c>
    </row>
    <row r="38" ht="18" customHeight="1" s="109">
      <c r="A38" s="12" t="n"/>
      <c r="B38" s="12" t="n"/>
      <c r="C38" s="12" t="n"/>
      <c r="D38" s="72" t="n"/>
      <c r="E38" s="12" t="n"/>
      <c r="F38" s="12" t="n"/>
      <c r="G38" s="77">
        <f>IF(A38="","",E38-F38)</f>
        <v/>
      </c>
      <c r="H38" s="39">
        <f>IF(OR(F38="",I38=""),"",F38*I38)</f>
        <v/>
      </c>
    </row>
    <row r="39" ht="18" customHeight="1" s="109">
      <c r="A39" s="8" t="n"/>
      <c r="B39" s="8" t="n"/>
      <c r="C39" s="8" t="n"/>
      <c r="D39" s="70" t="n"/>
      <c r="E39" s="8" t="n"/>
      <c r="F39" s="8" t="n"/>
      <c r="G39" s="77">
        <f>IF(A39="","",E39-F39)</f>
        <v/>
      </c>
      <c r="H39" s="39">
        <f>IF(OR(F39="",I39=""),"",F39*I39)</f>
        <v/>
      </c>
    </row>
    <row r="40" ht="18" customHeight="1" s="109">
      <c r="A40" s="12" t="n"/>
      <c r="B40" s="12" t="n"/>
      <c r="C40" s="12" t="n"/>
      <c r="D40" s="72" t="n"/>
      <c r="E40" s="12" t="n"/>
      <c r="F40" s="12" t="n"/>
      <c r="G40" s="77">
        <f>IF(A40="","",E40-F40)</f>
        <v/>
      </c>
      <c r="H40" s="39">
        <f>IF(OR(F40="",I40=""),"",F40*I40)</f>
        <v/>
      </c>
    </row>
    <row r="41" ht="18" customHeight="1" s="109">
      <c r="A41" s="8" t="n"/>
      <c r="B41" s="8" t="n"/>
      <c r="C41" s="8" t="n"/>
      <c r="D41" s="70" t="n"/>
      <c r="E41" s="8" t="n"/>
      <c r="F41" s="8" t="n"/>
      <c r="G41" s="77">
        <f>IF(A41="","",E41-F41)</f>
        <v/>
      </c>
      <c r="H41" s="39">
        <f>IF(OR(F41="",I41=""),"",F41*I41)</f>
        <v/>
      </c>
    </row>
    <row r="42" ht="18" customHeight="1" s="109">
      <c r="A42" s="12" t="n"/>
      <c r="B42" s="12" t="n"/>
      <c r="C42" s="12" t="n"/>
      <c r="D42" s="72" t="n"/>
      <c r="E42" s="12" t="n"/>
      <c r="F42" s="12" t="n"/>
      <c r="G42" s="77">
        <f>IF(A42="","",E42-F42)</f>
        <v/>
      </c>
      <c r="H42" s="39">
        <f>IF(OR(F42="",I42=""),"",F42*I42)</f>
        <v/>
      </c>
    </row>
    <row r="43" ht="18" customHeight="1" s="109">
      <c r="A43" s="8" t="n"/>
      <c r="B43" s="8" t="n"/>
      <c r="C43" s="8" t="n"/>
      <c r="D43" s="70" t="n"/>
      <c r="E43" s="8" t="n"/>
      <c r="F43" s="8" t="n"/>
      <c r="G43" s="77">
        <f>IF(A43="","",E43-F43)</f>
        <v/>
      </c>
      <c r="H43" s="39">
        <f>IF(OR(F43="",I43=""),"",F43*I43)</f>
        <v/>
      </c>
    </row>
    <row r="44" ht="18" customHeight="1" s="109">
      <c r="A44" s="12" t="n"/>
      <c r="B44" s="12" t="n"/>
      <c r="C44" s="12" t="n"/>
      <c r="D44" s="72" t="n"/>
      <c r="E44" s="12" t="n"/>
      <c r="F44" s="12" t="n"/>
      <c r="G44" s="77">
        <f>IF(A44="","",E44-F44)</f>
        <v/>
      </c>
      <c r="H44" s="39">
        <f>IF(OR(F44="",I44=""),"",F44*I44)</f>
        <v/>
      </c>
    </row>
    <row r="45" ht="18" customHeight="1" s="109">
      <c r="A45" s="8" t="n"/>
      <c r="B45" s="8" t="n"/>
      <c r="C45" s="8" t="n"/>
      <c r="D45" s="70" t="n"/>
      <c r="E45" s="8" t="n"/>
      <c r="F45" s="8" t="n"/>
      <c r="G45" s="77">
        <f>IF(A45="","",E45-F45)</f>
        <v/>
      </c>
      <c r="H45" s="39">
        <f>IF(OR(F45="",I45=""),"",F45*I45)</f>
        <v/>
      </c>
    </row>
    <row r="46" ht="18" customHeight="1" s="109">
      <c r="A46" s="12" t="n"/>
      <c r="B46" s="12" t="n"/>
      <c r="C46" s="12" t="n"/>
      <c r="D46" s="72" t="n"/>
      <c r="E46" s="12" t="n"/>
      <c r="F46" s="12" t="n"/>
      <c r="G46" s="77">
        <f>IF(A46="","",E46-F46)</f>
        <v/>
      </c>
      <c r="H46" s="39">
        <f>IF(OR(F46="",I46=""),"",F46*I46)</f>
        <v/>
      </c>
    </row>
    <row r="47" ht="18" customHeight="1" s="109">
      <c r="A47" s="8" t="n"/>
      <c r="B47" s="8" t="n"/>
      <c r="C47" s="8" t="n"/>
      <c r="D47" s="70" t="n"/>
      <c r="E47" s="8" t="n"/>
      <c r="F47" s="8" t="n"/>
      <c r="G47" s="77">
        <f>IF(A47="","",E47-F47)</f>
        <v/>
      </c>
      <c r="H47" s="39">
        <f>IF(OR(F47="",I47=""),"",F47*I47)</f>
        <v/>
      </c>
    </row>
    <row r="48" ht="18" customHeight="1" s="109">
      <c r="A48" s="12" t="n"/>
      <c r="B48" s="12" t="n"/>
      <c r="C48" s="12" t="n"/>
      <c r="D48" s="72" t="n"/>
      <c r="E48" s="12" t="n"/>
      <c r="F48" s="12" t="n"/>
      <c r="G48" s="77">
        <f>IF(A48="","",E48-F48)</f>
        <v/>
      </c>
      <c r="H48" s="39">
        <f>IF(OR(F48="",I48=""),"",F48*I48)</f>
        <v/>
      </c>
    </row>
    <row r="49" ht="18" customHeight="1" s="109">
      <c r="A49" s="8" t="n"/>
      <c r="B49" s="8" t="n"/>
      <c r="C49" s="8" t="n"/>
      <c r="D49" s="70" t="n"/>
      <c r="E49" s="8" t="n"/>
      <c r="F49" s="8" t="n"/>
      <c r="G49" s="77">
        <f>IF(A49="","",E49-F49)</f>
        <v/>
      </c>
      <c r="H49" s="39">
        <f>IF(OR(F49="",I49=""),"",F49*I49)</f>
        <v/>
      </c>
    </row>
    <row r="50" ht="18" customHeight="1" s="109">
      <c r="A50" s="12" t="n"/>
      <c r="B50" s="12" t="n"/>
      <c r="C50" s="12" t="n"/>
      <c r="D50" s="72" t="n"/>
      <c r="E50" s="12" t="n"/>
      <c r="F50" s="12" t="n"/>
      <c r="G50" s="77">
        <f>IF(A50="","",E50-F50)</f>
        <v/>
      </c>
      <c r="H50" s="39">
        <f>IF(OR(F50="",I50=""),"",F50*I50)</f>
        <v/>
      </c>
    </row>
    <row r="51" ht="18" customHeight="1" s="109">
      <c r="A51" s="8" t="n"/>
      <c r="B51" s="8" t="n"/>
      <c r="C51" s="8" t="n"/>
      <c r="D51" s="70" t="n"/>
      <c r="E51" s="8" t="n"/>
      <c r="F51" s="8" t="n"/>
      <c r="G51" s="77">
        <f>IF(A51="","",E51-F51)</f>
        <v/>
      </c>
      <c r="H51" s="39">
        <f>IF(OR(F51="",I51=""),"",F51*I51)</f>
        <v/>
      </c>
    </row>
    <row r="52" ht="18" customHeight="1" s="109">
      <c r="A52" s="12" t="n"/>
      <c r="B52" s="12" t="n"/>
      <c r="C52" s="12" t="n"/>
      <c r="D52" s="72" t="n"/>
      <c r="E52" s="12" t="n"/>
      <c r="F52" s="12" t="n"/>
      <c r="G52" s="77">
        <f>IF(A52="","",E52-F52)</f>
        <v/>
      </c>
      <c r="H52" s="39">
        <f>IF(OR(F52="",I52=""),"",F52*I52)</f>
        <v/>
      </c>
    </row>
    <row r="53" ht="18" customHeight="1" s="109">
      <c r="A53" s="8" t="n"/>
      <c r="B53" s="8" t="n"/>
      <c r="C53" s="8" t="n"/>
      <c r="D53" s="70" t="n"/>
      <c r="E53" s="8" t="n"/>
      <c r="F53" s="8" t="n"/>
      <c r="G53" s="77">
        <f>IF(A53="","",E53-F53)</f>
        <v/>
      </c>
      <c r="H53" s="39">
        <f>IF(OR(F53="",I53=""),"",F53*I53)</f>
        <v/>
      </c>
    </row>
    <row r="54" ht="18" customHeight="1" s="109">
      <c r="A54" s="12" t="n"/>
      <c r="B54" s="12" t="n"/>
      <c r="C54" s="12" t="n"/>
      <c r="D54" s="72" t="n"/>
      <c r="E54" s="12" t="n"/>
      <c r="F54" s="12" t="n"/>
      <c r="G54" s="77">
        <f>IF(A54="","",E54-F54)</f>
        <v/>
      </c>
      <c r="H54" s="39">
        <f>IF(OR(F54="",I54=""),"",F54*I54)</f>
        <v/>
      </c>
    </row>
    <row r="55" ht="18" customHeight="1" s="109">
      <c r="A55" s="8" t="n"/>
      <c r="B55" s="8" t="n"/>
      <c r="C55" s="8" t="n"/>
      <c r="D55" s="70" t="n"/>
      <c r="E55" s="8" t="n"/>
      <c r="F55" s="8" t="n"/>
      <c r="G55" s="77">
        <f>IF(A55="","",E55-F55)</f>
        <v/>
      </c>
      <c r="H55" s="39">
        <f>IF(OR(F55="",I55=""),"",F55*I55)</f>
        <v/>
      </c>
    </row>
    <row r="56" ht="18" customHeight="1" s="109">
      <c r="A56" s="12" t="n"/>
      <c r="B56" s="12" t="n"/>
      <c r="C56" s="12" t="n"/>
      <c r="D56" s="72" t="n"/>
      <c r="E56" s="12" t="n"/>
      <c r="F56" s="12" t="n"/>
      <c r="G56" s="77">
        <f>IF(A56="","",E56-F56)</f>
        <v/>
      </c>
      <c r="H56" s="39">
        <f>IF(OR(F56="",I56=""),"",F56*I56)</f>
        <v/>
      </c>
    </row>
    <row r="57" ht="18" customHeight="1" s="109">
      <c r="A57" s="8" t="n"/>
      <c r="B57" s="8" t="n"/>
      <c r="C57" s="8" t="n"/>
      <c r="D57" s="70" t="n"/>
      <c r="E57" s="8" t="n"/>
      <c r="F57" s="8" t="n"/>
      <c r="G57" s="77">
        <f>IF(A57="","",E57-F57)</f>
        <v/>
      </c>
      <c r="H57" s="39">
        <f>IF(OR(F57="",I57=""),"",F57*I57)</f>
        <v/>
      </c>
    </row>
    <row r="58" ht="18" customHeight="1" s="109">
      <c r="A58" s="12" t="n"/>
      <c r="B58" s="12" t="n"/>
      <c r="C58" s="12" t="n"/>
      <c r="D58" s="72" t="n"/>
      <c r="E58" s="12" t="n"/>
      <c r="F58" s="12" t="n"/>
      <c r="G58" s="77">
        <f>IF(A58="","",E58-F58)</f>
        <v/>
      </c>
      <c r="H58" s="39">
        <f>IF(OR(F58="",I58=""),"",F58*I58)</f>
        <v/>
      </c>
    </row>
    <row r="59" ht="18" customHeight="1" s="109">
      <c r="A59" s="8" t="n"/>
      <c r="B59" s="8" t="n"/>
      <c r="C59" s="8" t="n"/>
      <c r="D59" s="70" t="n"/>
      <c r="E59" s="8" t="n"/>
      <c r="F59" s="8" t="n"/>
      <c r="G59" s="77">
        <f>IF(A59="","",E59-F59)</f>
        <v/>
      </c>
      <c r="H59" s="39">
        <f>IF(OR(F59="",I59=""),"",F59*I59)</f>
        <v/>
      </c>
    </row>
    <row r="60" ht="18" customHeight="1" s="109">
      <c r="A60" s="12" t="n"/>
      <c r="B60" s="12" t="n"/>
      <c r="C60" s="12" t="n"/>
      <c r="D60" s="72" t="n"/>
      <c r="E60" s="12" t="n"/>
      <c r="F60" s="12" t="n"/>
      <c r="G60" s="77">
        <f>IF(A60="","",E60-F60)</f>
        <v/>
      </c>
      <c r="H60" s="39">
        <f>IF(OR(F60="",I60=""),"",F60*I60)</f>
        <v/>
      </c>
    </row>
    <row r="61" ht="18" customHeight="1" s="109">
      <c r="A61" s="8" t="n"/>
      <c r="B61" s="8" t="n"/>
      <c r="C61" s="8" t="n"/>
      <c r="D61" s="70" t="n"/>
      <c r="E61" s="8" t="n"/>
      <c r="F61" s="8" t="n"/>
      <c r="G61" s="77">
        <f>IF(A61="","",E61-F61)</f>
        <v/>
      </c>
      <c r="H61" s="39">
        <f>IF(OR(F61="",I61=""),"",F61*I61)</f>
        <v/>
      </c>
    </row>
    <row r="62" ht="18" customHeight="1" s="109">
      <c r="A62" s="12" t="n"/>
      <c r="B62" s="12" t="n"/>
      <c r="C62" s="12" t="n"/>
      <c r="D62" s="72" t="n"/>
      <c r="E62" s="12" t="n"/>
      <c r="F62" s="12" t="n"/>
      <c r="G62" s="77">
        <f>IF(A62="","",E62-F62)</f>
        <v/>
      </c>
      <c r="H62" s="39">
        <f>IF(OR(F62="",I62=""),"",F62*I62)</f>
        <v/>
      </c>
    </row>
    <row r="63" ht="18" customHeight="1" s="109">
      <c r="A63" s="8" t="n"/>
      <c r="B63" s="8" t="n"/>
      <c r="C63" s="8" t="n"/>
      <c r="D63" s="70" t="n"/>
      <c r="E63" s="8" t="n"/>
      <c r="F63" s="8" t="n"/>
      <c r="G63" s="77">
        <f>IF(A63="","",E63-F63)</f>
        <v/>
      </c>
      <c r="H63" s="39">
        <f>IF(OR(F63="",I63=""),"",F63*I63)</f>
        <v/>
      </c>
    </row>
    <row r="64" ht="18" customHeight="1" s="109">
      <c r="A64" s="12" t="n"/>
      <c r="B64" s="12" t="n"/>
      <c r="C64" s="12" t="n"/>
      <c r="D64" s="72" t="n"/>
      <c r="E64" s="12" t="n"/>
      <c r="F64" s="12" t="n"/>
      <c r="G64" s="77">
        <f>IF(A64="","",E64-F64)</f>
        <v/>
      </c>
      <c r="H64" s="39">
        <f>IF(OR(F64="",I64=""),"",F64*I64)</f>
        <v/>
      </c>
    </row>
    <row r="65" ht="18" customHeight="1" s="109">
      <c r="A65" s="8" t="n"/>
      <c r="B65" s="8" t="n"/>
      <c r="C65" s="8" t="n"/>
      <c r="D65" s="70" t="n"/>
      <c r="E65" s="8" t="n"/>
      <c r="F65" s="8" t="n"/>
      <c r="G65" s="77">
        <f>IF(A65="","",E65-F65)</f>
        <v/>
      </c>
      <c r="H65" s="39">
        <f>IF(OR(F65="",I65=""),"",F65*I65)</f>
        <v/>
      </c>
    </row>
    <row r="66" ht="18" customHeight="1" s="109">
      <c r="A66" s="12" t="n"/>
      <c r="B66" s="12" t="n"/>
      <c r="C66" s="12" t="n"/>
      <c r="D66" s="72" t="n"/>
      <c r="E66" s="12" t="n"/>
      <c r="F66" s="12" t="n"/>
      <c r="G66" s="77">
        <f>IF(A66="","",E66-F66)</f>
        <v/>
      </c>
      <c r="H66" s="39">
        <f>IF(OR(F66="",I66=""),"",F66*I66)</f>
        <v/>
      </c>
    </row>
    <row r="67" ht="18" customHeight="1" s="109">
      <c r="A67" s="8" t="n"/>
      <c r="B67" s="8" t="n"/>
      <c r="C67" s="8" t="n"/>
      <c r="D67" s="70" t="n"/>
      <c r="E67" s="8" t="n"/>
      <c r="F67" s="8" t="n"/>
      <c r="G67" s="77">
        <f>IF(A67="","",E67-F67)</f>
        <v/>
      </c>
      <c r="H67" s="39">
        <f>IF(OR(F67="",I67=""),"",F67*I67)</f>
        <v/>
      </c>
    </row>
    <row r="68" ht="18" customHeight="1" s="109">
      <c r="A68" s="12" t="n"/>
      <c r="B68" s="12" t="n"/>
      <c r="C68" s="12" t="n"/>
      <c r="D68" s="72" t="n"/>
      <c r="E68" s="12" t="n"/>
      <c r="F68" s="12" t="n"/>
      <c r="G68" s="77">
        <f>IF(A68="","",E68-F68)</f>
        <v/>
      </c>
      <c r="H68" s="39">
        <f>IF(OR(F68="",I68=""),"",F68*I68)</f>
        <v/>
      </c>
    </row>
    <row r="69" ht="18" customHeight="1" s="109">
      <c r="A69" s="8" t="n"/>
      <c r="B69" s="8" t="n"/>
      <c r="C69" s="8" t="n"/>
      <c r="D69" s="70" t="n"/>
      <c r="E69" s="8" t="n"/>
      <c r="F69" s="8" t="n"/>
      <c r="G69" s="77">
        <f>IF(A69="","",E69-F69)</f>
        <v/>
      </c>
      <c r="H69" s="39">
        <f>IF(OR(F69="",I69=""),"",F69*I69)</f>
        <v/>
      </c>
    </row>
    <row r="70" ht="18" customHeight="1" s="109">
      <c r="A70" s="12" t="n"/>
      <c r="B70" s="12" t="n"/>
      <c r="C70" s="12" t="n"/>
      <c r="D70" s="72" t="n"/>
      <c r="E70" s="12" t="n"/>
      <c r="F70" s="12" t="n"/>
      <c r="G70" s="77">
        <f>IF(A70="","",E70-F70)</f>
        <v/>
      </c>
      <c r="H70" s="39">
        <f>IF(OR(F70="",I70=""),"",F70*I70)</f>
        <v/>
      </c>
    </row>
    <row r="71" ht="18" customHeight="1" s="109">
      <c r="A71" s="8" t="n"/>
      <c r="B71" s="8" t="n"/>
      <c r="C71" s="8" t="n"/>
      <c r="D71" s="70" t="n"/>
      <c r="E71" s="8" t="n"/>
      <c r="F71" s="8" t="n"/>
      <c r="G71" s="77">
        <f>IF(A71="","",E71-F71)</f>
        <v/>
      </c>
      <c r="H71" s="39">
        <f>IF(OR(F71="",I71=""),"",F71*I71)</f>
        <v/>
      </c>
    </row>
    <row r="72" ht="18" customHeight="1" s="109">
      <c r="A72" s="12" t="n"/>
      <c r="B72" s="12" t="n"/>
      <c r="C72" s="12" t="n"/>
      <c r="D72" s="72" t="n"/>
      <c r="E72" s="12" t="n"/>
      <c r="F72" s="12" t="n"/>
      <c r="G72" s="77">
        <f>IF(A72="","",E72-F72)</f>
        <v/>
      </c>
      <c r="H72" s="39">
        <f>IF(OR(F72="",I72=""),"",F72*I72)</f>
        <v/>
      </c>
    </row>
    <row r="73" ht="18" customHeight="1" s="109">
      <c r="A73" s="8" t="n"/>
      <c r="B73" s="8" t="n"/>
      <c r="C73" s="8" t="n"/>
      <c r="D73" s="70" t="n"/>
      <c r="E73" s="8" t="n"/>
      <c r="F73" s="8" t="n"/>
      <c r="G73" s="77">
        <f>IF(A73="","",E73-F73)</f>
        <v/>
      </c>
      <c r="H73" s="39">
        <f>IF(OR(F73="",I73=""),"",F73*I73)</f>
        <v/>
      </c>
    </row>
    <row r="74" ht="18" customHeight="1" s="109">
      <c r="A74" s="12" t="n"/>
      <c r="B74" s="12" t="n"/>
      <c r="C74" s="12" t="n"/>
      <c r="D74" s="72" t="n"/>
      <c r="E74" s="12" t="n"/>
      <c r="F74" s="12" t="n"/>
      <c r="G74" s="77">
        <f>IF(A74="","",E74-F74)</f>
        <v/>
      </c>
      <c r="H74" s="39">
        <f>IF(OR(F74="",I74=""),"",F74*I74)</f>
        <v/>
      </c>
    </row>
    <row r="75" ht="18" customHeight="1" s="109">
      <c r="A75" s="8" t="n"/>
      <c r="B75" s="8" t="n"/>
      <c r="C75" s="8" t="n"/>
      <c r="D75" s="70" t="n"/>
      <c r="E75" s="8" t="n"/>
      <c r="F75" s="8" t="n"/>
      <c r="G75" s="77">
        <f>IF(A75="","",E75-F75)</f>
        <v/>
      </c>
      <c r="H75" s="39">
        <f>IF(OR(F75="",I75=""),"",F75*I75)</f>
        <v/>
      </c>
    </row>
    <row r="76" ht="18" customHeight="1" s="109">
      <c r="A76" s="12" t="n"/>
      <c r="B76" s="12" t="n"/>
      <c r="C76" s="12" t="n"/>
      <c r="D76" s="72" t="n"/>
      <c r="E76" s="12" t="n"/>
      <c r="F76" s="12" t="n"/>
      <c r="G76" s="77">
        <f>IF(A76="","",E76-F76)</f>
        <v/>
      </c>
      <c r="H76" s="39">
        <f>IF(OR(F76="",I76=""),"",F76*I76)</f>
        <v/>
      </c>
    </row>
    <row r="77" ht="18" customHeight="1" s="109">
      <c r="A77" s="8" t="n"/>
      <c r="B77" s="8" t="n"/>
      <c r="C77" s="8" t="n"/>
      <c r="D77" s="70" t="n"/>
      <c r="E77" s="8" t="n"/>
      <c r="F77" s="8" t="n"/>
      <c r="G77" s="77">
        <f>IF(A77="","",E77-F77)</f>
        <v/>
      </c>
      <c r="H77" s="39">
        <f>IF(OR(F77="",I77=""),"",F77*I77)</f>
        <v/>
      </c>
    </row>
    <row r="78" ht="18" customHeight="1" s="109">
      <c r="A78" s="12" t="n"/>
      <c r="B78" s="12" t="n"/>
      <c r="C78" s="12" t="n"/>
      <c r="D78" s="72" t="n"/>
      <c r="E78" s="12" t="n"/>
      <c r="F78" s="12" t="n"/>
      <c r="G78" s="77">
        <f>IF(A78="","",E78-F78)</f>
        <v/>
      </c>
      <c r="H78" s="39">
        <f>IF(OR(F78="",I78=""),"",F78*I78)</f>
        <v/>
      </c>
    </row>
    <row r="79" ht="18" customHeight="1" s="109">
      <c r="A79" s="8" t="n"/>
      <c r="B79" s="8" t="n"/>
      <c r="C79" s="8" t="n"/>
      <c r="D79" s="70" t="n"/>
      <c r="E79" s="8" t="n"/>
      <c r="F79" s="8" t="n"/>
      <c r="G79" s="77">
        <f>IF(A79="","",E79-F79)</f>
        <v/>
      </c>
      <c r="H79" s="39">
        <f>IF(OR(F79="",I79=""),"",F79*I79)</f>
        <v/>
      </c>
    </row>
    <row r="80" ht="18" customHeight="1" s="109">
      <c r="A80" s="12" t="n"/>
      <c r="B80" s="12" t="n"/>
      <c r="C80" s="12" t="n"/>
      <c r="D80" s="72" t="n"/>
      <c r="E80" s="12" t="n"/>
      <c r="F80" s="12" t="n"/>
      <c r="G80" s="77">
        <f>IF(A80="","",E80-F80)</f>
        <v/>
      </c>
      <c r="H80" s="39">
        <f>IF(OR(F80="",I80=""),"",F80*I80)</f>
        <v/>
      </c>
    </row>
    <row r="81" ht="18" customHeight="1" s="109">
      <c r="A81" s="8" t="n"/>
      <c r="B81" s="8" t="n"/>
      <c r="C81" s="8" t="n"/>
      <c r="D81" s="70" t="n"/>
      <c r="E81" s="8" t="n"/>
      <c r="F81" s="8" t="n"/>
      <c r="G81" s="77">
        <f>IF(A81="","",E81-F81)</f>
        <v/>
      </c>
      <c r="H81" s="39">
        <f>IF(OR(F81="",I81=""),"",F81*I81)</f>
        <v/>
      </c>
    </row>
    <row r="82" ht="18" customHeight="1" s="109">
      <c r="A82" s="12" t="n"/>
      <c r="B82" s="12" t="n"/>
      <c r="C82" s="12" t="n"/>
      <c r="D82" s="72" t="n"/>
      <c r="E82" s="12" t="n"/>
      <c r="F82" s="12" t="n"/>
      <c r="G82" s="77">
        <f>IF(A82="","",E82-F82)</f>
        <v/>
      </c>
      <c r="H82" s="39">
        <f>IF(OR(F82="",I82=""),"",F82*I82)</f>
        <v/>
      </c>
    </row>
    <row r="83" ht="18" customHeight="1" s="109">
      <c r="A83" s="8" t="n"/>
      <c r="B83" s="8" t="n"/>
      <c r="C83" s="8" t="n"/>
      <c r="D83" s="70" t="n"/>
      <c r="E83" s="8" t="n"/>
      <c r="F83" s="8" t="n"/>
      <c r="G83" s="77">
        <f>IF(A83="","",E83-F83)</f>
        <v/>
      </c>
      <c r="H83" s="39">
        <f>IF(OR(F83="",I83=""),"",F83*I83)</f>
        <v/>
      </c>
    </row>
    <row r="84" ht="18" customHeight="1" s="109">
      <c r="A84" s="12" t="n"/>
      <c r="B84" s="12" t="n"/>
      <c r="C84" s="12" t="n"/>
      <c r="D84" s="72" t="n"/>
      <c r="E84" s="12" t="n"/>
      <c r="F84" s="12" t="n"/>
      <c r="G84" s="77">
        <f>IF(A84="","",E84-F84)</f>
        <v/>
      </c>
      <c r="H84" s="39">
        <f>IF(OR(F84="",I84=""),"",F84*I84)</f>
        <v/>
      </c>
    </row>
    <row r="85" ht="18" customHeight="1" s="109">
      <c r="A85" s="8" t="n"/>
      <c r="B85" s="8" t="n"/>
      <c r="C85" s="8" t="n"/>
      <c r="D85" s="70" t="n"/>
      <c r="E85" s="8" t="n"/>
      <c r="F85" s="8" t="n"/>
      <c r="G85" s="77">
        <f>IF(A85="","",E85-F85)</f>
        <v/>
      </c>
      <c r="H85" s="39">
        <f>IF(OR(F85="",I85=""),"",F85*I85)</f>
        <v/>
      </c>
    </row>
    <row r="86" ht="18" customHeight="1" s="109">
      <c r="A86" s="12" t="n"/>
      <c r="B86" s="12" t="n"/>
      <c r="C86" s="12" t="n"/>
      <c r="D86" s="72" t="n"/>
      <c r="E86" s="12" t="n"/>
      <c r="F86" s="12" t="n"/>
      <c r="G86" s="77">
        <f>IF(A86="","",E86-F86)</f>
        <v/>
      </c>
      <c r="H86" s="39">
        <f>IF(OR(F86="",I86=""),"",F86*I86)</f>
        <v/>
      </c>
    </row>
    <row r="87" ht="18" customHeight="1" s="109">
      <c r="A87" s="8" t="n"/>
      <c r="B87" s="8" t="n"/>
      <c r="C87" s="8" t="n"/>
      <c r="D87" s="70" t="n"/>
      <c r="E87" s="8" t="n"/>
      <c r="F87" s="8" t="n"/>
      <c r="G87" s="77">
        <f>IF(A87="","",E87-F87)</f>
        <v/>
      </c>
      <c r="H87" s="39">
        <f>IF(OR(F87="",I87=""),"",F87*I87)</f>
        <v/>
      </c>
    </row>
    <row r="88" ht="18" customHeight="1" s="109">
      <c r="A88" s="12" t="n"/>
      <c r="B88" s="12" t="n"/>
      <c r="C88" s="12" t="n"/>
      <c r="D88" s="72" t="n"/>
      <c r="E88" s="12" t="n"/>
      <c r="F88" s="12" t="n"/>
      <c r="G88" s="77">
        <f>IF(A88="","",E88-F88)</f>
        <v/>
      </c>
      <c r="H88" s="39">
        <f>IF(OR(F88="",I88=""),"",F88*I88)</f>
        <v/>
      </c>
    </row>
    <row r="89" ht="18" customHeight="1" s="109">
      <c r="A89" s="8" t="n"/>
      <c r="B89" s="8" t="n"/>
      <c r="C89" s="8" t="n"/>
      <c r="D89" s="70" t="n"/>
      <c r="E89" s="8" t="n"/>
      <c r="F89" s="8" t="n"/>
      <c r="G89" s="77">
        <f>IF(A89="","",E89-F89)</f>
        <v/>
      </c>
      <c r="H89" s="39">
        <f>IF(OR(F89="",I89=""),"",F89*I89)</f>
        <v/>
      </c>
    </row>
    <row r="90" ht="18" customHeight="1" s="109">
      <c r="A90" s="12" t="n"/>
      <c r="B90" s="12" t="n"/>
      <c r="C90" s="12" t="n"/>
      <c r="D90" s="72" t="n"/>
      <c r="E90" s="12" t="n"/>
      <c r="F90" s="12" t="n"/>
      <c r="G90" s="77">
        <f>IF(A90="","",E90-F90)</f>
        <v/>
      </c>
      <c r="H90" s="39">
        <f>IF(OR(F90="",I90=""),"",F90*I90)</f>
        <v/>
      </c>
    </row>
    <row r="91" ht="18" customHeight="1" s="109">
      <c r="A91" s="8" t="n"/>
      <c r="B91" s="8" t="n"/>
      <c r="C91" s="8" t="n"/>
      <c r="D91" s="70" t="n"/>
      <c r="E91" s="8" t="n"/>
      <c r="F91" s="8" t="n"/>
      <c r="G91" s="77">
        <f>IF(A91="","",E91-F91)</f>
        <v/>
      </c>
      <c r="H91" s="39">
        <f>IF(OR(F91="",I91=""),"",F91*I91)</f>
        <v/>
      </c>
    </row>
    <row r="92" ht="18" customHeight="1" s="109">
      <c r="A92" s="12" t="n"/>
      <c r="B92" s="12" t="n"/>
      <c r="C92" s="12" t="n"/>
      <c r="D92" s="72" t="n"/>
      <c r="E92" s="12" t="n"/>
      <c r="F92" s="12" t="n"/>
      <c r="G92" s="77">
        <f>IF(A92="","",E92-F92)</f>
        <v/>
      </c>
      <c r="H92" s="39">
        <f>IF(OR(F92="",I92=""),"",F92*I92)</f>
        <v/>
      </c>
    </row>
    <row r="93" ht="18" customHeight="1" s="109">
      <c r="A93" s="8" t="n"/>
      <c r="B93" s="8" t="n"/>
      <c r="C93" s="8" t="n"/>
      <c r="D93" s="70" t="n"/>
      <c r="E93" s="8" t="n"/>
      <c r="F93" s="8" t="n"/>
      <c r="G93" s="77">
        <f>IF(A93="","",E93-F93)</f>
        <v/>
      </c>
      <c r="H93" s="39">
        <f>IF(OR(F93="",I93=""),"",F93*I93)</f>
        <v/>
      </c>
    </row>
    <row r="94" ht="18" customHeight="1" s="109">
      <c r="A94" s="12" t="n"/>
      <c r="B94" s="12" t="n"/>
      <c r="C94" s="12" t="n"/>
      <c r="D94" s="72" t="n"/>
      <c r="E94" s="12" t="n"/>
      <c r="F94" s="12" t="n"/>
      <c r="G94" s="77">
        <f>IF(A94="","",E94-F94)</f>
        <v/>
      </c>
      <c r="H94" s="39">
        <f>IF(OR(F94="",I94=""),"",F94*I94)</f>
        <v/>
      </c>
    </row>
    <row r="95" ht="18" customHeight="1" s="109">
      <c r="A95" s="8" t="n"/>
      <c r="B95" s="8" t="n"/>
      <c r="C95" s="8" t="n"/>
      <c r="D95" s="70" t="n"/>
      <c r="E95" s="8" t="n"/>
      <c r="F95" s="8" t="n"/>
      <c r="G95" s="77">
        <f>IF(A95="","",E95-F95)</f>
        <v/>
      </c>
      <c r="H95" s="39">
        <f>IF(OR(F95="",I95=""),"",F95*I95)</f>
        <v/>
      </c>
    </row>
    <row r="96" ht="18" customHeight="1" s="109">
      <c r="A96" s="12" t="n"/>
      <c r="B96" s="12" t="n"/>
      <c r="C96" s="12" t="n"/>
      <c r="D96" s="72" t="n"/>
      <c r="E96" s="12" t="n"/>
      <c r="F96" s="12" t="n"/>
      <c r="G96" s="77">
        <f>IF(A96="","",E96-F96)</f>
        <v/>
      </c>
      <c r="H96" s="39">
        <f>IF(OR(F96="",I96=""),"",F96*I96)</f>
        <v/>
      </c>
    </row>
    <row r="97" ht="18" customHeight="1" s="109">
      <c r="A97" s="8" t="n"/>
      <c r="B97" s="8" t="n"/>
      <c r="C97" s="8" t="n"/>
      <c r="D97" s="70" t="n"/>
      <c r="E97" s="8" t="n"/>
      <c r="F97" s="8" t="n"/>
      <c r="G97" s="77">
        <f>IF(A97="","",E97-F97)</f>
        <v/>
      </c>
      <c r="H97" s="39">
        <f>IF(OR(F97="",I97=""),"",F97*I97)</f>
        <v/>
      </c>
    </row>
    <row r="98" ht="18" customHeight="1" s="109">
      <c r="A98" s="12" t="n"/>
      <c r="B98" s="12" t="n"/>
      <c r="C98" s="12" t="n"/>
      <c r="D98" s="72" t="n"/>
      <c r="E98" s="12" t="n"/>
      <c r="F98" s="12" t="n"/>
      <c r="G98" s="77">
        <f>IF(A98="","",E98-F98)</f>
        <v/>
      </c>
      <c r="H98" s="39">
        <f>IF(OR(F98="",I98=""),"",F98*I98)</f>
        <v/>
      </c>
    </row>
    <row r="99" ht="18" customHeight="1" s="109">
      <c r="A99" s="8" t="n"/>
      <c r="B99" s="8" t="n"/>
      <c r="C99" s="8" t="n"/>
      <c r="D99" s="70" t="n"/>
      <c r="E99" s="8" t="n"/>
      <c r="F99" s="8" t="n"/>
      <c r="G99" s="77">
        <f>IF(A99="","",E99-F99)</f>
        <v/>
      </c>
      <c r="H99" s="39">
        <f>IF(OR(F99="",I99=""),"",F99*I99)</f>
        <v/>
      </c>
    </row>
    <row r="100" ht="18" customHeight="1" s="109">
      <c r="A100" s="12" t="n"/>
      <c r="B100" s="12" t="n"/>
      <c r="C100" s="12" t="n"/>
      <c r="D100" s="72" t="n"/>
      <c r="E100" s="12" t="n"/>
      <c r="F100" s="12" t="n"/>
      <c r="G100" s="77">
        <f>IF(A100="","",E100-F100)</f>
        <v/>
      </c>
      <c r="H100" s="39">
        <f>IF(OR(F100="",I100=""),"",F100*I100)</f>
        <v/>
      </c>
    </row>
    <row r="101" ht="18" customHeight="1" s="109">
      <c r="A101" s="8" t="n"/>
      <c r="B101" s="8" t="n"/>
      <c r="C101" s="8" t="n"/>
      <c r="D101" s="70" t="n"/>
      <c r="E101" s="8" t="n"/>
      <c r="F101" s="8" t="n"/>
      <c r="G101" s="77">
        <f>IF(A101="","",E101-F101)</f>
        <v/>
      </c>
      <c r="H101" s="39">
        <f>IF(OR(F101="",I101=""),"",F101*I101)</f>
        <v/>
      </c>
    </row>
    <row r="102" ht="18" customHeight="1" s="109">
      <c r="A102" s="12" t="n"/>
      <c r="B102" s="12" t="n"/>
      <c r="C102" s="12" t="n"/>
      <c r="D102" s="72" t="n"/>
      <c r="E102" s="12" t="n"/>
      <c r="F102" s="12" t="n"/>
      <c r="G102" s="77">
        <f>IF(A102="","",E102-F102)</f>
        <v/>
      </c>
      <c r="H102" s="39">
        <f>IF(OR(F102="",I102=""),"",F102*I102)</f>
        <v/>
      </c>
    </row>
    <row r="103" ht="18" customHeight="1" s="109">
      <c r="A103" s="8" t="n"/>
      <c r="B103" s="8" t="n"/>
      <c r="C103" s="8" t="n"/>
      <c r="D103" s="70" t="n"/>
      <c r="E103" s="8" t="n"/>
      <c r="F103" s="8" t="n"/>
      <c r="G103" s="77">
        <f>IF(A103="","",E103-F103)</f>
        <v/>
      </c>
      <c r="H103" s="39">
        <f>IF(OR(F103="",I103=""),"",F103*I103)</f>
        <v/>
      </c>
    </row>
    <row r="104" ht="18" customHeight="1" s="109">
      <c r="A104" s="12" t="n"/>
      <c r="B104" s="12" t="n"/>
      <c r="C104" s="12" t="n"/>
      <c r="D104" s="72" t="n"/>
      <c r="E104" s="12" t="n"/>
      <c r="F104" s="12" t="n"/>
      <c r="G104" s="77">
        <f>IF(A104="","",E104-F104)</f>
        <v/>
      </c>
      <c r="H104" s="39">
        <f>IF(OR(F104="",I104=""),"",F104*I104)</f>
        <v/>
      </c>
    </row>
    <row r="105" ht="18" customHeight="1" s="109">
      <c r="A105" s="8" t="n"/>
      <c r="B105" s="8" t="n"/>
      <c r="C105" s="8" t="n"/>
      <c r="D105" s="70" t="n"/>
      <c r="E105" s="8" t="n"/>
      <c r="F105" s="8" t="n"/>
      <c r="G105" s="77">
        <f>IF(A105="","",E105-F105)</f>
        <v/>
      </c>
      <c r="H105" s="39">
        <f>IF(OR(F105="",I105=""),"",F105*I105)</f>
        <v/>
      </c>
    </row>
    <row r="106" ht="18" customHeight="1" s="109">
      <c r="A106" s="12" t="n"/>
      <c r="B106" s="12" t="n"/>
      <c r="C106" s="12" t="n"/>
      <c r="D106" s="72" t="n"/>
      <c r="E106" s="12" t="n"/>
      <c r="F106" s="12" t="n"/>
      <c r="G106" s="77">
        <f>IF(A106="","",E106-F106)</f>
        <v/>
      </c>
      <c r="H106" s="39">
        <f>IF(OR(F106="",I106=""),"",F106*I106)</f>
        <v/>
      </c>
    </row>
    <row r="107" ht="18" customHeight="1" s="109">
      <c r="A107" s="8" t="n"/>
      <c r="B107" s="8" t="n"/>
      <c r="C107" s="8" t="n"/>
      <c r="D107" s="70" t="n"/>
      <c r="E107" s="8" t="n"/>
      <c r="F107" s="8" t="n"/>
      <c r="G107" s="77">
        <f>IF(A107="","",E107-F107)</f>
        <v/>
      </c>
      <c r="H107" s="39">
        <f>IF(OR(F107="",I107=""),"",F107*I107)</f>
        <v/>
      </c>
    </row>
    <row r="108" ht="18" customHeight="1" s="109">
      <c r="A108" s="12" t="n"/>
      <c r="B108" s="12" t="n"/>
      <c r="C108" s="12" t="n"/>
      <c r="D108" s="72" t="n"/>
      <c r="E108" s="12" t="n"/>
      <c r="F108" s="12" t="n"/>
      <c r="G108" s="77">
        <f>IF(A108="","",E108-F108)</f>
        <v/>
      </c>
      <c r="H108" s="39">
        <f>IF(OR(F108="",I108=""),"",F108*I108)</f>
        <v/>
      </c>
    </row>
    <row r="109" ht="18" customHeight="1" s="109">
      <c r="A109" s="8" t="n"/>
      <c r="B109" s="8" t="n"/>
      <c r="C109" s="8" t="n"/>
      <c r="D109" s="70" t="n"/>
      <c r="E109" s="8" t="n"/>
      <c r="F109" s="8" t="n"/>
      <c r="G109" s="77">
        <f>IF(A109="","",E109-F109)</f>
        <v/>
      </c>
      <c r="H109" s="39">
        <f>IF(OR(F109="",I109=""),"",F109*I109)</f>
        <v/>
      </c>
    </row>
    <row r="110" ht="18" customHeight="1" s="109">
      <c r="A110" s="12" t="n"/>
      <c r="B110" s="12" t="n"/>
      <c r="C110" s="12" t="n"/>
      <c r="D110" s="72" t="n"/>
      <c r="E110" s="12" t="n"/>
      <c r="F110" s="12" t="n"/>
      <c r="G110" s="77">
        <f>IF(A110="","",E110-F110)</f>
        <v/>
      </c>
      <c r="H110" s="39">
        <f>IF(OR(F110="",I110=""),"",F110*I110)</f>
        <v/>
      </c>
    </row>
    <row r="111" ht="18" customHeight="1" s="109">
      <c r="A111" s="8" t="n"/>
      <c r="B111" s="8" t="n"/>
      <c r="C111" s="8" t="n"/>
      <c r="D111" s="70" t="n"/>
      <c r="E111" s="8" t="n"/>
      <c r="F111" s="8" t="n"/>
      <c r="G111" s="77">
        <f>IF(A111="","",E111-F111)</f>
        <v/>
      </c>
      <c r="H111" s="39">
        <f>IF(OR(F111="",I111=""),"",F111*I111)</f>
        <v/>
      </c>
    </row>
    <row r="112" ht="18" customHeight="1" s="109">
      <c r="A112" s="12" t="n"/>
      <c r="B112" s="12" t="n"/>
      <c r="C112" s="12" t="n"/>
      <c r="D112" s="72" t="n"/>
      <c r="E112" s="12" t="n"/>
      <c r="F112" s="12" t="n"/>
      <c r="G112" s="77">
        <f>IF(A112="","",E112-F112)</f>
        <v/>
      </c>
      <c r="H112" s="39">
        <f>IF(OR(F112="",I112=""),"",F112*I112)</f>
        <v/>
      </c>
    </row>
    <row r="113" ht="18" customHeight="1" s="109">
      <c r="A113" s="8" t="n"/>
      <c r="B113" s="8" t="n"/>
      <c r="C113" s="8" t="n"/>
      <c r="D113" s="70" t="n"/>
      <c r="E113" s="8" t="n"/>
      <c r="F113" s="8" t="n"/>
      <c r="G113" s="77">
        <f>IF(A113="","",E113-F113)</f>
        <v/>
      </c>
      <c r="H113" s="39">
        <f>IF(OR(F113="",I113=""),"",F113*I113)</f>
        <v/>
      </c>
    </row>
    <row r="114" ht="18" customHeight="1" s="109">
      <c r="A114" s="12" t="n"/>
      <c r="B114" s="12" t="n"/>
      <c r="C114" s="12" t="n"/>
      <c r="D114" s="72" t="n"/>
      <c r="E114" s="12" t="n"/>
      <c r="F114" s="12" t="n"/>
      <c r="G114" s="77">
        <f>IF(A114="","",E114-F114)</f>
        <v/>
      </c>
      <c r="H114" s="39">
        <f>IF(OR(F114="",I114=""),"",F114*I114)</f>
        <v/>
      </c>
    </row>
    <row r="115" ht="18" customHeight="1" s="109">
      <c r="A115" s="8" t="n"/>
      <c r="B115" s="8" t="n"/>
      <c r="C115" s="8" t="n"/>
      <c r="D115" s="70" t="n"/>
      <c r="E115" s="8" t="n"/>
      <c r="F115" s="8" t="n"/>
      <c r="G115" s="77">
        <f>IF(A115="","",E115-F115)</f>
        <v/>
      </c>
      <c r="H115" s="39">
        <f>IF(OR(F115="",I115=""),"",F115*I115)</f>
        <v/>
      </c>
    </row>
    <row r="116" ht="18" customHeight="1" s="109">
      <c r="A116" s="12" t="n"/>
      <c r="B116" s="12" t="n"/>
      <c r="C116" s="12" t="n"/>
      <c r="D116" s="72" t="n"/>
      <c r="E116" s="12" t="n"/>
      <c r="F116" s="12" t="n"/>
      <c r="G116" s="77">
        <f>IF(A116="","",E116-F116)</f>
        <v/>
      </c>
      <c r="H116" s="39">
        <f>IF(OR(F116="",I116=""),"",F116*I116)</f>
        <v/>
      </c>
    </row>
    <row r="117" ht="18" customHeight="1" s="109">
      <c r="A117" s="8" t="n"/>
      <c r="B117" s="8" t="n"/>
      <c r="C117" s="8" t="n"/>
      <c r="D117" s="70" t="n"/>
      <c r="E117" s="8" t="n"/>
      <c r="F117" s="8" t="n"/>
      <c r="G117" s="77">
        <f>IF(A117="","",E117-F117)</f>
        <v/>
      </c>
      <c r="H117" s="39">
        <f>IF(OR(F117="",I117=""),"",F117*I117)</f>
        <v/>
      </c>
    </row>
    <row r="118" ht="18" customHeight="1" s="109">
      <c r="A118" s="12" t="n"/>
      <c r="B118" s="12" t="n"/>
      <c r="C118" s="12" t="n"/>
      <c r="D118" s="72" t="n"/>
      <c r="E118" s="12" t="n"/>
      <c r="F118" s="12" t="n"/>
      <c r="G118" s="77">
        <f>IF(A118="","",E118-F118)</f>
        <v/>
      </c>
      <c r="H118" s="39">
        <f>IF(OR(F118="",I118=""),"",F118*I118)</f>
        <v/>
      </c>
    </row>
    <row r="119" ht="18" customHeight="1" s="109">
      <c r="A119" s="8" t="n"/>
      <c r="B119" s="8" t="n"/>
      <c r="C119" s="8" t="n"/>
      <c r="D119" s="70" t="n"/>
      <c r="E119" s="8" t="n"/>
      <c r="F119" s="8" t="n"/>
      <c r="G119" s="77">
        <f>IF(A119="","",E119-F119)</f>
        <v/>
      </c>
      <c r="H119" s="39">
        <f>IF(OR(F119="",I119=""),"",F119*I119)</f>
        <v/>
      </c>
    </row>
    <row r="120" ht="18" customHeight="1" s="109">
      <c r="A120" s="12" t="n"/>
      <c r="B120" s="12" t="n"/>
      <c r="C120" s="12" t="n"/>
      <c r="D120" s="72" t="n"/>
      <c r="E120" s="12" t="n"/>
      <c r="F120" s="12" t="n"/>
      <c r="G120" s="77">
        <f>IF(A120="","",E120-F120)</f>
        <v/>
      </c>
      <c r="H120" s="39">
        <f>IF(OR(F120="",I120=""),"",F120*I120)</f>
        <v/>
      </c>
    </row>
    <row r="121" ht="18" customHeight="1" s="109">
      <c r="A121" s="8" t="n"/>
      <c r="B121" s="8" t="n"/>
      <c r="C121" s="8" t="n"/>
      <c r="D121" s="70" t="n"/>
      <c r="E121" s="8" t="n"/>
      <c r="F121" s="8" t="n"/>
      <c r="G121" s="77">
        <f>IF(A121="","",E121-F121)</f>
        <v/>
      </c>
      <c r="H121" s="39">
        <f>IF(OR(F121="",I121=""),"",F121*I121)</f>
        <v/>
      </c>
    </row>
    <row r="122" ht="18" customHeight="1" s="109">
      <c r="A122" s="12" t="n"/>
      <c r="B122" s="12" t="n"/>
      <c r="C122" s="12" t="n"/>
      <c r="D122" s="72" t="n"/>
      <c r="E122" s="12" t="n"/>
      <c r="F122" s="12" t="n"/>
      <c r="G122" s="77">
        <f>IF(A122="","",E122-F122)</f>
        <v/>
      </c>
      <c r="H122" s="39">
        <f>IF(OR(F122="",I122=""),"",F122*I122)</f>
        <v/>
      </c>
    </row>
    <row r="123" ht="18" customHeight="1" s="109">
      <c r="A123" s="8" t="n"/>
      <c r="B123" s="8" t="n"/>
      <c r="C123" s="8" t="n"/>
      <c r="D123" s="70" t="n"/>
      <c r="E123" s="8" t="n"/>
      <c r="F123" s="8" t="n"/>
      <c r="G123" s="77">
        <f>IF(A123="","",E123-F123)</f>
        <v/>
      </c>
      <c r="H123" s="39">
        <f>IF(OR(F123="",I123=""),"",F123*I123)</f>
        <v/>
      </c>
    </row>
    <row r="124" ht="18" customHeight="1" s="109">
      <c r="A124" s="12" t="n"/>
      <c r="B124" s="12" t="n"/>
      <c r="C124" s="12" t="n"/>
      <c r="D124" s="72" t="n"/>
      <c r="E124" s="12" t="n"/>
      <c r="F124" s="12" t="n"/>
      <c r="G124" s="77">
        <f>IF(A124="","",E124-F124)</f>
        <v/>
      </c>
      <c r="H124" s="39">
        <f>IF(OR(F124="",I124=""),"",F124*I124)</f>
        <v/>
      </c>
    </row>
    <row r="125" ht="18" customHeight="1" s="109">
      <c r="A125" s="8" t="n"/>
      <c r="B125" s="8" t="n"/>
      <c r="C125" s="8" t="n"/>
      <c r="D125" s="70" t="n"/>
      <c r="E125" s="8" t="n"/>
      <c r="F125" s="8" t="n"/>
      <c r="G125" s="77">
        <f>IF(A125="","",E125-F125)</f>
        <v/>
      </c>
      <c r="H125" s="39">
        <f>IF(OR(F125="",I125=""),"",F125*I125)</f>
        <v/>
      </c>
    </row>
    <row r="126" ht="18" customHeight="1" s="109">
      <c r="A126" s="12" t="n"/>
      <c r="B126" s="12" t="n"/>
      <c r="C126" s="12" t="n"/>
      <c r="D126" s="72" t="n"/>
      <c r="E126" s="12" t="n"/>
      <c r="F126" s="12" t="n"/>
      <c r="G126" s="77">
        <f>IF(A126="","",E126-F126)</f>
        <v/>
      </c>
      <c r="H126" s="39">
        <f>IF(OR(F126="",I126=""),"",F126*I126)</f>
        <v/>
      </c>
    </row>
    <row r="127" ht="18" customHeight="1" s="109">
      <c r="A127" s="8" t="n"/>
      <c r="B127" s="8" t="n"/>
      <c r="C127" s="8" t="n"/>
      <c r="D127" s="70" t="n"/>
      <c r="E127" s="8" t="n"/>
      <c r="F127" s="8" t="n"/>
      <c r="G127" s="77">
        <f>IF(A127="","",E127-F127)</f>
        <v/>
      </c>
      <c r="H127" s="39">
        <f>IF(OR(F127="",I127=""),"",F127*I127)</f>
        <v/>
      </c>
    </row>
    <row r="128" ht="18" customHeight="1" s="109">
      <c r="A128" s="12" t="n"/>
      <c r="B128" s="12" t="n"/>
      <c r="C128" s="12" t="n"/>
      <c r="D128" s="72" t="n"/>
      <c r="E128" s="12" t="n"/>
      <c r="F128" s="12" t="n"/>
      <c r="G128" s="77">
        <f>IF(A128="","",E128-F128)</f>
        <v/>
      </c>
      <c r="H128" s="39">
        <f>IF(OR(F128="",I128=""),"",F128*I128)</f>
        <v/>
      </c>
    </row>
    <row r="129" ht="18" customHeight="1" s="109">
      <c r="A129" s="8" t="n"/>
      <c r="B129" s="8" t="n"/>
      <c r="C129" s="8" t="n"/>
      <c r="D129" s="70" t="n"/>
      <c r="E129" s="8" t="n"/>
      <c r="F129" s="8" t="n"/>
      <c r="G129" s="77">
        <f>IF(A129="","",E129-F129)</f>
        <v/>
      </c>
      <c r="H129" s="39">
        <f>IF(OR(F129="",I129=""),"",F129*I129)</f>
        <v/>
      </c>
    </row>
    <row r="130" ht="18" customHeight="1" s="109">
      <c r="A130" s="12" t="n"/>
      <c r="B130" s="12" t="n"/>
      <c r="C130" s="12" t="n"/>
      <c r="D130" s="72" t="n"/>
      <c r="E130" s="12" t="n"/>
      <c r="F130" s="12" t="n"/>
      <c r="G130" s="77">
        <f>IF(A130="","",E130-F130)</f>
        <v/>
      </c>
      <c r="H130" s="39">
        <f>IF(OR(F130="",I130=""),"",F130*I130)</f>
        <v/>
      </c>
    </row>
    <row r="131" ht="18" customHeight="1" s="109">
      <c r="A131" s="8" t="n"/>
      <c r="B131" s="8" t="n"/>
      <c r="C131" s="8" t="n"/>
      <c r="D131" s="70" t="n"/>
      <c r="E131" s="8" t="n"/>
      <c r="F131" s="8" t="n"/>
      <c r="G131" s="77">
        <f>IF(A131="","",E131-F131)</f>
        <v/>
      </c>
      <c r="H131" s="39">
        <f>IF(OR(F131="",I131=""),"",F131*I131)</f>
        <v/>
      </c>
    </row>
    <row r="132" ht="18" customHeight="1" s="109">
      <c r="A132" s="12" t="n"/>
      <c r="B132" s="12" t="n"/>
      <c r="C132" s="12" t="n"/>
      <c r="D132" s="72" t="n"/>
      <c r="E132" s="12" t="n"/>
      <c r="F132" s="12" t="n"/>
      <c r="G132" s="77">
        <f>IF(A132="","",E132-F132)</f>
        <v/>
      </c>
      <c r="H132" s="39">
        <f>IF(OR(F132="",I132=""),"",F132*I132)</f>
        <v/>
      </c>
    </row>
    <row r="133" ht="18" customHeight="1" s="109">
      <c r="A133" s="8" t="n"/>
      <c r="B133" s="8" t="n"/>
      <c r="C133" s="8" t="n"/>
      <c r="D133" s="70" t="n"/>
      <c r="E133" s="8" t="n"/>
      <c r="F133" s="8" t="n"/>
      <c r="G133" s="77">
        <f>IF(A133="","",E133-F133)</f>
        <v/>
      </c>
      <c r="H133" s="39">
        <f>IF(OR(F133="",I133=""),"",F133*I133)</f>
        <v/>
      </c>
    </row>
    <row r="134" ht="18" customHeight="1" s="109">
      <c r="A134" s="12" t="n"/>
      <c r="B134" s="12" t="n"/>
      <c r="C134" s="12" t="n"/>
      <c r="D134" s="72" t="n"/>
      <c r="E134" s="12" t="n"/>
      <c r="F134" s="12" t="n"/>
      <c r="G134" s="77">
        <f>IF(A134="","",E134-F134)</f>
        <v/>
      </c>
      <c r="H134" s="39">
        <f>IF(OR(F134="",I134=""),"",F134*I134)</f>
        <v/>
      </c>
    </row>
    <row r="135" ht="18" customHeight="1" s="109">
      <c r="A135" s="8" t="n"/>
      <c r="B135" s="8" t="n"/>
      <c r="C135" s="8" t="n"/>
      <c r="D135" s="70" t="n"/>
      <c r="E135" s="8" t="n"/>
      <c r="F135" s="8" t="n"/>
      <c r="G135" s="77">
        <f>IF(A135="","",E135-F135)</f>
        <v/>
      </c>
      <c r="H135" s="39">
        <f>IF(OR(F135="",I135=""),"",F135*I135)</f>
        <v/>
      </c>
    </row>
    <row r="136" ht="18" customHeight="1" s="109">
      <c r="A136" s="12" t="n"/>
      <c r="B136" s="12" t="n"/>
      <c r="C136" s="12" t="n"/>
      <c r="D136" s="72" t="n"/>
      <c r="E136" s="12" t="n"/>
      <c r="F136" s="12" t="n"/>
      <c r="G136" s="77">
        <f>IF(A136="","",E136-F136)</f>
        <v/>
      </c>
      <c r="H136" s="39">
        <f>IF(OR(F136="",I136=""),"",F136*I136)</f>
        <v/>
      </c>
    </row>
    <row r="137" ht="18" customHeight="1" s="109">
      <c r="A137" s="8" t="n"/>
      <c r="B137" s="8" t="n"/>
      <c r="C137" s="8" t="n"/>
      <c r="D137" s="70" t="n"/>
      <c r="E137" s="8" t="n"/>
      <c r="F137" s="8" t="n"/>
      <c r="G137" s="77">
        <f>IF(A137="","",E137-F137)</f>
        <v/>
      </c>
      <c r="H137" s="39">
        <f>IF(OR(F137="",I137=""),"",F137*I137)</f>
        <v/>
      </c>
    </row>
    <row r="138" ht="18" customHeight="1" s="109">
      <c r="A138" s="12" t="n"/>
      <c r="B138" s="12" t="n"/>
      <c r="C138" s="12" t="n"/>
      <c r="D138" s="72" t="n"/>
      <c r="E138" s="12" t="n"/>
      <c r="F138" s="12" t="n"/>
      <c r="G138" s="77">
        <f>IF(A138="","",E138-F138)</f>
        <v/>
      </c>
      <c r="H138" s="39">
        <f>IF(OR(F138="",I138=""),"",F138*I138)</f>
        <v/>
      </c>
    </row>
    <row r="139" ht="18" customHeight="1" s="109">
      <c r="A139" s="8" t="n"/>
      <c r="B139" s="8" t="n"/>
      <c r="C139" s="8" t="n"/>
      <c r="D139" s="70" t="n"/>
      <c r="E139" s="8" t="n"/>
      <c r="F139" s="8" t="n"/>
      <c r="G139" s="77">
        <f>IF(A139="","",E139-F139)</f>
        <v/>
      </c>
      <c r="H139" s="39">
        <f>IF(OR(F139="",I139=""),"",F139*I139)</f>
        <v/>
      </c>
    </row>
    <row r="140" ht="18" customHeight="1" s="109">
      <c r="A140" s="12" t="n"/>
      <c r="B140" s="12" t="n"/>
      <c r="C140" s="12" t="n"/>
      <c r="D140" s="72" t="n"/>
      <c r="E140" s="12" t="n"/>
      <c r="F140" s="12" t="n"/>
      <c r="G140" s="77">
        <f>IF(A140="","",E140-F140)</f>
        <v/>
      </c>
      <c r="H140" s="39">
        <f>IF(OR(F140="",I140=""),"",F140*I140)</f>
        <v/>
      </c>
    </row>
    <row r="141" ht="18" customHeight="1" s="109">
      <c r="A141" s="8" t="n"/>
      <c r="B141" s="8" t="n"/>
      <c r="C141" s="8" t="n"/>
      <c r="D141" s="70" t="n"/>
      <c r="E141" s="8" t="n"/>
      <c r="F141" s="8" t="n"/>
      <c r="G141" s="77">
        <f>IF(A141="","",E141-F141)</f>
        <v/>
      </c>
      <c r="H141" s="39">
        <f>IF(OR(F141="",I141=""),"",F141*I141)</f>
        <v/>
      </c>
    </row>
    <row r="142" ht="18" customHeight="1" s="109">
      <c r="A142" s="12" t="n"/>
      <c r="B142" s="12" t="n"/>
      <c r="C142" s="12" t="n"/>
      <c r="D142" s="72" t="n"/>
      <c r="E142" s="12" t="n"/>
      <c r="F142" s="12" t="n"/>
      <c r="G142" s="77">
        <f>IF(A142="","",E142-F142)</f>
        <v/>
      </c>
      <c r="H142" s="39">
        <f>IF(OR(F142="",I142=""),"",F142*I142)</f>
        <v/>
      </c>
    </row>
    <row r="143" ht="18" customHeight="1" s="109">
      <c r="A143" s="8" t="n"/>
      <c r="B143" s="8" t="n"/>
      <c r="C143" s="8" t="n"/>
      <c r="D143" s="70" t="n"/>
      <c r="E143" s="8" t="n"/>
      <c r="F143" s="8" t="n"/>
      <c r="G143" s="77">
        <f>IF(A143="","",E143-F143)</f>
        <v/>
      </c>
      <c r="H143" s="39">
        <f>IF(OR(F143="",I143=""),"",F143*I143)</f>
        <v/>
      </c>
    </row>
    <row r="144" ht="18" customHeight="1" s="109">
      <c r="A144" s="12" t="n"/>
      <c r="B144" s="12" t="n"/>
      <c r="C144" s="12" t="n"/>
      <c r="D144" s="72" t="n"/>
      <c r="E144" s="12" t="n"/>
      <c r="F144" s="12" t="n"/>
      <c r="G144" s="77">
        <f>IF(A144="","",E144-F144)</f>
        <v/>
      </c>
      <c r="H144" s="39">
        <f>IF(OR(F144="",I144=""),"",F144*I144)</f>
        <v/>
      </c>
    </row>
    <row r="145" ht="18" customHeight="1" s="109">
      <c r="A145" s="8" t="n"/>
      <c r="B145" s="8" t="n"/>
      <c r="C145" s="8" t="n"/>
      <c r="D145" s="70" t="n"/>
      <c r="E145" s="8" t="n"/>
      <c r="F145" s="8" t="n"/>
      <c r="G145" s="77">
        <f>IF(A145="","",E145-F145)</f>
        <v/>
      </c>
      <c r="H145" s="39">
        <f>IF(OR(F145="",I145=""),"",F145*I145)</f>
        <v/>
      </c>
    </row>
    <row r="146" ht="18" customHeight="1" s="109">
      <c r="A146" s="12" t="n"/>
      <c r="B146" s="12" t="n"/>
      <c r="C146" s="12" t="n"/>
      <c r="D146" s="72" t="n"/>
      <c r="E146" s="12" t="n"/>
      <c r="F146" s="12" t="n"/>
      <c r="G146" s="77">
        <f>IF(A146="","",E146-F146)</f>
        <v/>
      </c>
      <c r="H146" s="39">
        <f>IF(OR(F146="",I146=""),"",F146*I146)</f>
        <v/>
      </c>
    </row>
    <row r="147" ht="18" customHeight="1" s="109">
      <c r="A147" s="8" t="n"/>
      <c r="B147" s="8" t="n"/>
      <c r="C147" s="8" t="n"/>
      <c r="D147" s="70" t="n"/>
      <c r="E147" s="8" t="n"/>
      <c r="F147" s="8" t="n"/>
      <c r="G147" s="77">
        <f>IF(A147="","",E147-F147)</f>
        <v/>
      </c>
      <c r="H147" s="39">
        <f>IF(OR(F147="",I147=""),"",F147*I147)</f>
        <v/>
      </c>
    </row>
    <row r="148" ht="18" customHeight="1" s="109">
      <c r="A148" s="12" t="n"/>
      <c r="B148" s="12" t="n"/>
      <c r="C148" s="12" t="n"/>
      <c r="D148" s="72" t="n"/>
      <c r="E148" s="12" t="n"/>
      <c r="F148" s="12" t="n"/>
      <c r="G148" s="77">
        <f>IF(A148="","",E148-F148)</f>
        <v/>
      </c>
      <c r="H148" s="39">
        <f>IF(OR(F148="",I148=""),"",F148*I148)</f>
        <v/>
      </c>
    </row>
    <row r="149" ht="18" customHeight="1" s="109">
      <c r="A149" s="8" t="n"/>
      <c r="B149" s="8" t="n"/>
      <c r="C149" s="8" t="n"/>
      <c r="D149" s="70" t="n"/>
      <c r="E149" s="8" t="n"/>
      <c r="F149" s="8" t="n"/>
      <c r="G149" s="77">
        <f>IF(A149="","",E149-F149)</f>
        <v/>
      </c>
      <c r="H149" s="39">
        <f>IF(OR(F149="",I149=""),"",F149*I149)</f>
        <v/>
      </c>
    </row>
    <row r="150" ht="18" customHeight="1" s="109">
      <c r="A150" s="12" t="n"/>
      <c r="B150" s="12" t="n"/>
      <c r="C150" s="12" t="n"/>
      <c r="D150" s="72" t="n"/>
      <c r="E150" s="12" t="n"/>
      <c r="F150" s="12" t="n"/>
      <c r="G150" s="77">
        <f>IF(A150="","",E150-F150)</f>
        <v/>
      </c>
      <c r="H150" s="39">
        <f>IF(OR(F150="",I150=""),"",F150*I150)</f>
        <v/>
      </c>
    </row>
    <row r="151" ht="18" customHeight="1" s="109">
      <c r="A151" s="8" t="n"/>
      <c r="B151" s="8" t="n"/>
      <c r="C151" s="8" t="n"/>
      <c r="D151" s="70" t="n"/>
      <c r="E151" s="8" t="n"/>
      <c r="F151" s="8" t="n"/>
      <c r="G151" s="77">
        <f>IF(A151="","",E151-F151)</f>
        <v/>
      </c>
      <c r="H151" s="39">
        <f>IF(OR(F151="",I151=""),"",F151*I151)</f>
        <v/>
      </c>
    </row>
    <row r="152" ht="18" customHeight="1" s="109">
      <c r="A152" s="12" t="n"/>
      <c r="B152" s="12" t="n"/>
      <c r="C152" s="12" t="n"/>
      <c r="D152" s="72" t="n"/>
      <c r="E152" s="12" t="n"/>
      <c r="F152" s="12" t="n"/>
      <c r="G152" s="77">
        <f>IF(A152="","",E152-F152)</f>
        <v/>
      </c>
      <c r="H152" s="39">
        <f>IF(OR(F152="",I152=""),"",F152*I152)</f>
        <v/>
      </c>
    </row>
    <row r="153" ht="18" customHeight="1" s="109">
      <c r="A153" s="8" t="n"/>
      <c r="B153" s="8" t="n"/>
      <c r="C153" s="8" t="n"/>
      <c r="D153" s="70" t="n"/>
      <c r="E153" s="8" t="n"/>
      <c r="F153" s="8" t="n"/>
      <c r="G153" s="77">
        <f>IF(A153="","",E153-F153)</f>
        <v/>
      </c>
      <c r="H153" s="39">
        <f>IF(OR(F153="",I153=""),"",F153*I153)</f>
        <v/>
      </c>
    </row>
    <row r="154" ht="18" customHeight="1" s="109">
      <c r="A154" s="12" t="n"/>
      <c r="B154" s="12" t="n"/>
      <c r="C154" s="12" t="n"/>
      <c r="D154" s="72" t="n"/>
      <c r="E154" s="12" t="n"/>
      <c r="F154" s="12" t="n"/>
      <c r="G154" s="77">
        <f>IF(A154="","",E154-F154)</f>
        <v/>
      </c>
      <c r="H154" s="39">
        <f>IF(OR(F154="",I154=""),"",F154*I154)</f>
        <v/>
      </c>
    </row>
    <row r="155" ht="18" customHeight="1" s="109">
      <c r="A155" s="8" t="n"/>
      <c r="B155" s="8" t="n"/>
      <c r="C155" s="8" t="n"/>
      <c r="D155" s="70" t="n"/>
      <c r="E155" s="8" t="n"/>
      <c r="F155" s="8" t="n"/>
      <c r="G155" s="77">
        <f>IF(A155="","",E155-F155)</f>
        <v/>
      </c>
      <c r="H155" s="39">
        <f>IF(OR(F155="",I155=""),"",F155*I155)</f>
        <v/>
      </c>
    </row>
    <row r="156" ht="18" customHeight="1" s="109">
      <c r="A156" s="12" t="n"/>
      <c r="B156" s="12" t="n"/>
      <c r="C156" s="12" t="n"/>
      <c r="D156" s="72" t="n"/>
      <c r="E156" s="12" t="n"/>
      <c r="F156" s="12" t="n"/>
      <c r="G156" s="77">
        <f>IF(A156="","",E156-F156)</f>
        <v/>
      </c>
      <c r="H156" s="39">
        <f>IF(OR(F156="",I156=""),"",F156*I156)</f>
        <v/>
      </c>
    </row>
    <row r="157" ht="18" customHeight="1" s="109">
      <c r="A157" s="8" t="n"/>
      <c r="B157" s="8" t="n"/>
      <c r="C157" s="8" t="n"/>
      <c r="D157" s="70" t="n"/>
      <c r="E157" s="8" t="n"/>
      <c r="F157" s="8" t="n"/>
      <c r="G157" s="77">
        <f>IF(A157="","",E157-F157)</f>
        <v/>
      </c>
      <c r="H157" s="39">
        <f>IF(OR(F157="",I157=""),"",F157*I157)</f>
        <v/>
      </c>
    </row>
    <row r="158" ht="18" customHeight="1" s="109">
      <c r="A158" s="12" t="n"/>
      <c r="B158" s="12" t="n"/>
      <c r="C158" s="12" t="n"/>
      <c r="D158" s="72" t="n"/>
      <c r="E158" s="12" t="n"/>
      <c r="F158" s="12" t="n"/>
      <c r="G158" s="77">
        <f>IF(A158="","",E158-F158)</f>
        <v/>
      </c>
      <c r="H158" s="39">
        <f>IF(OR(F158="",I158=""),"",F158*I158)</f>
        <v/>
      </c>
    </row>
    <row r="159" ht="18" customHeight="1" s="109">
      <c r="A159" s="8" t="n"/>
      <c r="B159" s="8" t="n"/>
      <c r="C159" s="8" t="n"/>
      <c r="D159" s="70" t="n"/>
      <c r="E159" s="8" t="n"/>
      <c r="F159" s="8" t="n"/>
      <c r="G159" s="77">
        <f>IF(A159="","",E159-F159)</f>
        <v/>
      </c>
      <c r="H159" s="39">
        <f>IF(OR(F159="",I159=""),"",F159*I159)</f>
        <v/>
      </c>
    </row>
    <row r="160" ht="18" customHeight="1" s="109">
      <c r="A160" s="12" t="n"/>
      <c r="B160" s="12" t="n"/>
      <c r="C160" s="12" t="n"/>
      <c r="D160" s="72" t="n"/>
      <c r="E160" s="12" t="n"/>
      <c r="F160" s="12" t="n"/>
      <c r="G160" s="77">
        <f>IF(A160="","",E160-F160)</f>
        <v/>
      </c>
      <c r="H160" s="39">
        <f>IF(OR(F160="",I160=""),"",F160*I160)</f>
        <v/>
      </c>
    </row>
    <row r="161" ht="18" customHeight="1" s="109">
      <c r="A161" s="8" t="n"/>
      <c r="B161" s="8" t="n"/>
      <c r="C161" s="8" t="n"/>
      <c r="D161" s="70" t="n"/>
      <c r="E161" s="8" t="n"/>
      <c r="F161" s="8" t="n"/>
      <c r="G161" s="77">
        <f>IF(A161="","",E161-F161)</f>
        <v/>
      </c>
      <c r="H161" s="39">
        <f>IF(OR(F161="",I161=""),"",F161*I161)</f>
        <v/>
      </c>
    </row>
    <row r="162" ht="18" customHeight="1" s="109">
      <c r="A162" s="12" t="n"/>
      <c r="B162" s="12" t="n"/>
      <c r="C162" s="12" t="n"/>
      <c r="D162" s="72" t="n"/>
      <c r="E162" s="12" t="n"/>
      <c r="F162" s="12" t="n"/>
      <c r="G162" s="77">
        <f>IF(A162="","",E162-F162)</f>
        <v/>
      </c>
      <c r="H162" s="39">
        <f>IF(OR(F162="",I162=""),"",F162*I162)</f>
        <v/>
      </c>
    </row>
    <row r="163" ht="18" customHeight="1" s="109">
      <c r="A163" s="8" t="n"/>
      <c r="B163" s="8" t="n"/>
      <c r="C163" s="8" t="n"/>
      <c r="D163" s="70" t="n"/>
      <c r="E163" s="8" t="n"/>
      <c r="F163" s="8" t="n"/>
      <c r="G163" s="77">
        <f>IF(A163="","",E163-F163)</f>
        <v/>
      </c>
      <c r="H163" s="39">
        <f>IF(OR(F163="",I163=""),"",F163*I163)</f>
        <v/>
      </c>
    </row>
    <row r="164" ht="18" customHeight="1" s="109">
      <c r="A164" s="12" t="n"/>
      <c r="B164" s="12" t="n"/>
      <c r="C164" s="12" t="n"/>
      <c r="D164" s="72" t="n"/>
      <c r="E164" s="12" t="n"/>
      <c r="F164" s="12" t="n"/>
      <c r="G164" s="77">
        <f>IF(A164="","",E164-F164)</f>
        <v/>
      </c>
      <c r="H164" s="39">
        <f>IF(OR(F164="",I164=""),"",F164*I164)</f>
        <v/>
      </c>
    </row>
    <row r="165" ht="18" customHeight="1" s="109">
      <c r="A165" s="8" t="n"/>
      <c r="B165" s="8" t="n"/>
      <c r="C165" s="8" t="n"/>
      <c r="D165" s="70" t="n"/>
      <c r="E165" s="8" t="n"/>
      <c r="F165" s="8" t="n"/>
      <c r="G165" s="77">
        <f>IF(A165="","",E165-F165)</f>
        <v/>
      </c>
      <c r="H165" s="39">
        <f>IF(OR(F165="",I165=""),"",F165*I165)</f>
        <v/>
      </c>
    </row>
    <row r="166" ht="18" customHeight="1" s="109">
      <c r="A166" s="12" t="n"/>
      <c r="B166" s="12" t="n"/>
      <c r="C166" s="12" t="n"/>
      <c r="D166" s="72" t="n"/>
      <c r="E166" s="12" t="n"/>
      <c r="F166" s="12" t="n"/>
      <c r="G166" s="77">
        <f>IF(A166="","",E166-F166)</f>
        <v/>
      </c>
      <c r="H166" s="39">
        <f>IF(OR(F166="",I166=""),"",F166*I166)</f>
        <v/>
      </c>
    </row>
    <row r="167" ht="18" customHeight="1" s="109">
      <c r="A167" s="8" t="n"/>
      <c r="B167" s="8" t="n"/>
      <c r="C167" s="8" t="n"/>
      <c r="D167" s="70" t="n"/>
      <c r="E167" s="8" t="n"/>
      <c r="F167" s="8" t="n"/>
      <c r="G167" s="77">
        <f>IF(A167="","",E167-F167)</f>
        <v/>
      </c>
      <c r="H167" s="39">
        <f>IF(OR(F167="",I167=""),"",F167*I167)</f>
        <v/>
      </c>
    </row>
    <row r="168" ht="18" customHeight="1" s="109">
      <c r="A168" s="12" t="n"/>
      <c r="B168" s="12" t="n"/>
      <c r="C168" s="12" t="n"/>
      <c r="D168" s="72" t="n"/>
      <c r="E168" s="12" t="n"/>
      <c r="F168" s="12" t="n"/>
      <c r="G168" s="77">
        <f>IF(A168="","",E168-F168)</f>
        <v/>
      </c>
      <c r="H168" s="39">
        <f>IF(OR(F168="",I168=""),"",F168*I168)</f>
        <v/>
      </c>
    </row>
    <row r="169" ht="18" customHeight="1" s="109">
      <c r="A169" s="8" t="n"/>
      <c r="B169" s="8" t="n"/>
      <c r="C169" s="8" t="n"/>
      <c r="D169" s="70" t="n"/>
      <c r="E169" s="8" t="n"/>
      <c r="F169" s="8" t="n"/>
      <c r="G169" s="77">
        <f>IF(A169="","",E169-F169)</f>
        <v/>
      </c>
      <c r="H169" s="39">
        <f>IF(OR(F169="",I169=""),"",F169*I169)</f>
        <v/>
      </c>
    </row>
    <row r="170" ht="18" customHeight="1" s="109">
      <c r="A170" s="12" t="n"/>
      <c r="B170" s="12" t="n"/>
      <c r="C170" s="12" t="n"/>
      <c r="D170" s="72" t="n"/>
      <c r="E170" s="12" t="n"/>
      <c r="F170" s="12" t="n"/>
      <c r="G170" s="77">
        <f>IF(A170="","",E170-F170)</f>
        <v/>
      </c>
      <c r="H170" s="39">
        <f>IF(OR(F170="",I170=""),"",F170*I170)</f>
        <v/>
      </c>
    </row>
    <row r="171" ht="18" customHeight="1" s="109">
      <c r="A171" s="8" t="n"/>
      <c r="B171" s="8" t="n"/>
      <c r="C171" s="8" t="n"/>
      <c r="D171" s="70" t="n"/>
      <c r="E171" s="8" t="n"/>
      <c r="F171" s="8" t="n"/>
      <c r="G171" s="77">
        <f>IF(A171="","",E171-F171)</f>
        <v/>
      </c>
      <c r="H171" s="39">
        <f>IF(OR(F171="",I171=""),"",F171*I171)</f>
        <v/>
      </c>
    </row>
    <row r="172" ht="18" customHeight="1" s="109">
      <c r="A172" s="12" t="n"/>
      <c r="B172" s="12" t="n"/>
      <c r="C172" s="12" t="n"/>
      <c r="D172" s="72" t="n"/>
      <c r="E172" s="12" t="n"/>
      <c r="F172" s="12" t="n"/>
      <c r="G172" s="77">
        <f>IF(A172="","",E172-F172)</f>
        <v/>
      </c>
      <c r="H172" s="39">
        <f>IF(OR(F172="",I172=""),"",F172*I172)</f>
        <v/>
      </c>
    </row>
    <row r="173" ht="18" customHeight="1" s="109">
      <c r="A173" s="8" t="n"/>
      <c r="B173" s="8" t="n"/>
      <c r="C173" s="8" t="n"/>
      <c r="D173" s="70" t="n"/>
      <c r="E173" s="8" t="n"/>
      <c r="F173" s="8" t="n"/>
      <c r="G173" s="77">
        <f>IF(A173="","",E173-F173)</f>
        <v/>
      </c>
      <c r="H173" s="39">
        <f>IF(OR(F173="",I173=""),"",F173*I173)</f>
        <v/>
      </c>
    </row>
    <row r="174" ht="18" customHeight="1" s="109">
      <c r="A174" s="12" t="n"/>
      <c r="B174" s="12" t="n"/>
      <c r="C174" s="12" t="n"/>
      <c r="D174" s="72" t="n"/>
      <c r="E174" s="12" t="n"/>
      <c r="F174" s="12" t="n"/>
      <c r="G174" s="77">
        <f>IF(A174="","",E174-F174)</f>
        <v/>
      </c>
      <c r="H174" s="39">
        <f>IF(OR(F174="",I174=""),"",F174*I174)</f>
        <v/>
      </c>
    </row>
    <row r="175" ht="18" customHeight="1" s="109">
      <c r="A175" s="8" t="n"/>
      <c r="B175" s="8" t="n"/>
      <c r="C175" s="8" t="n"/>
      <c r="D175" s="70" t="n"/>
      <c r="E175" s="8" t="n"/>
      <c r="F175" s="8" t="n"/>
      <c r="G175" s="77">
        <f>IF(A175="","",E175-F175)</f>
        <v/>
      </c>
      <c r="H175" s="39">
        <f>IF(OR(F175="",I175=""),"",F175*I175)</f>
        <v/>
      </c>
    </row>
    <row r="176" ht="18" customHeight="1" s="109">
      <c r="A176" s="12" t="n"/>
      <c r="B176" s="12" t="n"/>
      <c r="C176" s="12" t="n"/>
      <c r="D176" s="72" t="n"/>
      <c r="E176" s="12" t="n"/>
      <c r="F176" s="12" t="n"/>
      <c r="G176" s="77">
        <f>IF(A176="","",E176-F176)</f>
        <v/>
      </c>
      <c r="H176" s="39">
        <f>IF(OR(F176="",I176=""),"",F176*I176)</f>
        <v/>
      </c>
    </row>
    <row r="177" ht="18" customHeight="1" s="109">
      <c r="A177" s="8" t="n"/>
      <c r="B177" s="8" t="n"/>
      <c r="C177" s="8" t="n"/>
      <c r="D177" s="70" t="n"/>
      <c r="E177" s="8" t="n"/>
      <c r="F177" s="8" t="n"/>
      <c r="G177" s="77">
        <f>IF(A177="","",E177-F177)</f>
        <v/>
      </c>
      <c r="H177" s="39">
        <f>IF(OR(F177="",I177=""),"",F177*I177)</f>
        <v/>
      </c>
    </row>
    <row r="178" ht="18" customHeight="1" s="109">
      <c r="A178" s="12" t="n"/>
      <c r="B178" s="12" t="n"/>
      <c r="C178" s="12" t="n"/>
      <c r="D178" s="72" t="n"/>
      <c r="E178" s="12" t="n"/>
      <c r="F178" s="12" t="n"/>
      <c r="G178" s="77">
        <f>IF(A178="","",E178-F178)</f>
        <v/>
      </c>
      <c r="H178" s="39">
        <f>IF(OR(F178="",I178=""),"",F178*I178)</f>
        <v/>
      </c>
    </row>
    <row r="179" ht="18" customHeight="1" s="109">
      <c r="A179" s="8" t="n"/>
      <c r="B179" s="8" t="n"/>
      <c r="C179" s="8" t="n"/>
      <c r="D179" s="70" t="n"/>
      <c r="E179" s="8" t="n"/>
      <c r="F179" s="8" t="n"/>
      <c r="G179" s="77">
        <f>IF(A179="","",E179-F179)</f>
        <v/>
      </c>
      <c r="H179" s="39">
        <f>IF(OR(F179="",I179=""),"",F179*I179)</f>
        <v/>
      </c>
    </row>
    <row r="180" ht="18" customHeight="1" s="109">
      <c r="A180" s="12" t="n"/>
      <c r="B180" s="12" t="n"/>
      <c r="C180" s="12" t="n"/>
      <c r="D180" s="72" t="n"/>
      <c r="E180" s="12" t="n"/>
      <c r="F180" s="12" t="n"/>
      <c r="G180" s="77">
        <f>IF(A180="","",E180-F180)</f>
        <v/>
      </c>
      <c r="H180" s="39">
        <f>IF(OR(F180="",I180=""),"",F180*I180)</f>
        <v/>
      </c>
    </row>
    <row r="181" ht="18" customHeight="1" s="109">
      <c r="A181" s="8" t="n"/>
      <c r="B181" s="8" t="n"/>
      <c r="C181" s="8" t="n"/>
      <c r="D181" s="70" t="n"/>
      <c r="E181" s="8" t="n"/>
      <c r="F181" s="8" t="n"/>
      <c r="G181" s="77">
        <f>IF(A181="","",E181-F181)</f>
        <v/>
      </c>
      <c r="H181" s="39">
        <f>IF(OR(F181="",I181=""),"",F181*I181)</f>
        <v/>
      </c>
    </row>
    <row r="182" ht="18" customHeight="1" s="109">
      <c r="A182" s="12" t="n"/>
      <c r="B182" s="12" t="n"/>
      <c r="C182" s="12" t="n"/>
      <c r="D182" s="72" t="n"/>
      <c r="E182" s="12" t="n"/>
      <c r="F182" s="12" t="n"/>
      <c r="G182" s="77">
        <f>IF(A182="","",E182-F182)</f>
        <v/>
      </c>
      <c r="H182" s="39">
        <f>IF(OR(F182="",I182=""),"",F182*I182)</f>
        <v/>
      </c>
    </row>
    <row r="183" ht="18" customHeight="1" s="109">
      <c r="A183" s="8" t="n"/>
      <c r="B183" s="8" t="n"/>
      <c r="C183" s="8" t="n"/>
      <c r="D183" s="70" t="n"/>
      <c r="E183" s="8" t="n"/>
      <c r="F183" s="8" t="n"/>
      <c r="G183" s="77">
        <f>IF(A183="","",E183-F183)</f>
        <v/>
      </c>
      <c r="H183" s="39">
        <f>IF(OR(F183="",I183=""),"",F183*I183)</f>
        <v/>
      </c>
    </row>
    <row r="184" ht="18" customHeight="1" s="109">
      <c r="A184" s="12" t="n"/>
      <c r="B184" s="12" t="n"/>
      <c r="C184" s="12" t="n"/>
      <c r="D184" s="72" t="n"/>
      <c r="E184" s="12" t="n"/>
      <c r="F184" s="12" t="n"/>
      <c r="G184" s="77">
        <f>IF(A184="","",E184-F184)</f>
        <v/>
      </c>
      <c r="H184" s="39">
        <f>IF(OR(F184="",I184=""),"",F184*I184)</f>
        <v/>
      </c>
    </row>
    <row r="185" ht="18" customHeight="1" s="109">
      <c r="A185" s="8" t="n"/>
      <c r="B185" s="8" t="n"/>
      <c r="C185" s="8" t="n"/>
      <c r="D185" s="70" t="n"/>
      <c r="E185" s="8" t="n"/>
      <c r="F185" s="8" t="n"/>
      <c r="G185" s="77">
        <f>IF(A185="","",E185-F185)</f>
        <v/>
      </c>
      <c r="H185" s="39">
        <f>IF(OR(F185="",I185=""),"",F185*I185)</f>
        <v/>
      </c>
    </row>
    <row r="186" ht="18" customHeight="1" s="109">
      <c r="A186" s="12" t="n"/>
      <c r="B186" s="12" t="n"/>
      <c r="C186" s="12" t="n"/>
      <c r="D186" s="72" t="n"/>
      <c r="E186" s="12" t="n"/>
      <c r="F186" s="12" t="n"/>
      <c r="G186" s="77">
        <f>IF(A186="","",E186-F186)</f>
        <v/>
      </c>
      <c r="H186" s="39">
        <f>IF(OR(F186="",I186=""),"",F186*I186)</f>
        <v/>
      </c>
    </row>
    <row r="187" ht="18" customHeight="1" s="109">
      <c r="A187" s="8" t="n"/>
      <c r="B187" s="8" t="n"/>
      <c r="C187" s="8" t="n"/>
      <c r="D187" s="70" t="n"/>
      <c r="E187" s="8" t="n"/>
      <c r="F187" s="8" t="n"/>
      <c r="G187" s="77">
        <f>IF(A187="","",E187-F187)</f>
        <v/>
      </c>
      <c r="H187" s="39">
        <f>IF(OR(F187="",I187=""),"",F187*I187)</f>
        <v/>
      </c>
    </row>
    <row r="188" ht="18" customHeight="1" s="109">
      <c r="A188" s="12" t="n"/>
      <c r="B188" s="12" t="n"/>
      <c r="C188" s="12" t="n"/>
      <c r="D188" s="72" t="n"/>
      <c r="E188" s="12" t="n"/>
      <c r="F188" s="12" t="n"/>
      <c r="G188" s="77">
        <f>IF(A188="","",E188-F188)</f>
        <v/>
      </c>
      <c r="H188" s="39">
        <f>IF(OR(F188="",I188=""),"",F188*I188)</f>
        <v/>
      </c>
    </row>
    <row r="189" ht="18" customHeight="1" s="109">
      <c r="A189" s="8" t="n"/>
      <c r="B189" s="8" t="n"/>
      <c r="C189" s="8" t="n"/>
      <c r="D189" s="70" t="n"/>
      <c r="E189" s="8" t="n"/>
      <c r="F189" s="8" t="n"/>
      <c r="G189" s="77">
        <f>IF(A189="","",E189-F189)</f>
        <v/>
      </c>
      <c r="H189" s="39">
        <f>IF(OR(F189="",I189=""),"",F189*I189)</f>
        <v/>
      </c>
    </row>
    <row r="190" ht="18" customHeight="1" s="109">
      <c r="A190" s="12" t="n"/>
      <c r="B190" s="12" t="n"/>
      <c r="C190" s="12" t="n"/>
      <c r="D190" s="72" t="n"/>
      <c r="E190" s="12" t="n"/>
      <c r="F190" s="12" t="n"/>
      <c r="G190" s="77">
        <f>IF(A190="","",E190-F190)</f>
        <v/>
      </c>
      <c r="H190" s="39">
        <f>IF(OR(F190="",I190=""),"",F190*I190)</f>
        <v/>
      </c>
    </row>
    <row r="191" ht="18" customHeight="1" s="109">
      <c r="A191" s="8" t="n"/>
      <c r="B191" s="8" t="n"/>
      <c r="C191" s="8" t="n"/>
      <c r="D191" s="70" t="n"/>
      <c r="E191" s="8" t="n"/>
      <c r="F191" s="8" t="n"/>
      <c r="G191" s="77">
        <f>IF(A191="","",E191-F191)</f>
        <v/>
      </c>
      <c r="H191" s="39">
        <f>IF(OR(F191="",I191=""),"",F191*I191)</f>
        <v/>
      </c>
    </row>
    <row r="192" ht="18" customHeight="1" s="109">
      <c r="A192" s="12" t="n"/>
      <c r="B192" s="12" t="n"/>
      <c r="C192" s="12" t="n"/>
      <c r="D192" s="72" t="n"/>
      <c r="E192" s="12" t="n"/>
      <c r="F192" s="12" t="n"/>
      <c r="G192" s="77">
        <f>IF(A192="","",E192-F192)</f>
        <v/>
      </c>
      <c r="H192" s="39">
        <f>IF(OR(F192="",I192=""),"",F192*I192)</f>
        <v/>
      </c>
    </row>
    <row r="193" ht="18" customHeight="1" s="109">
      <c r="A193" s="8" t="n"/>
      <c r="B193" s="8" t="n"/>
      <c r="C193" s="8" t="n"/>
      <c r="D193" s="70" t="n"/>
      <c r="E193" s="8" t="n"/>
      <c r="F193" s="8" t="n"/>
      <c r="G193" s="77">
        <f>IF(A193="","",E193-F193)</f>
        <v/>
      </c>
      <c r="H193" s="39">
        <f>IF(OR(F193="",I193=""),"",F193*I193)</f>
        <v/>
      </c>
    </row>
    <row r="194" ht="18" customHeight="1" s="109">
      <c r="A194" s="12" t="n"/>
      <c r="B194" s="12" t="n"/>
      <c r="C194" s="12" t="n"/>
      <c r="D194" s="72" t="n"/>
      <c r="E194" s="12" t="n"/>
      <c r="F194" s="12" t="n"/>
      <c r="G194" s="77">
        <f>IF(A194="","",E194-F194)</f>
        <v/>
      </c>
      <c r="H194" s="39">
        <f>IF(OR(F194="",I194=""),"",F194*I194)</f>
        <v/>
      </c>
    </row>
    <row r="195" ht="18" customHeight="1" s="109">
      <c r="A195" s="8" t="n"/>
      <c r="B195" s="8" t="n"/>
      <c r="C195" s="8" t="n"/>
      <c r="D195" s="70" t="n"/>
      <c r="E195" s="8" t="n"/>
      <c r="F195" s="8" t="n"/>
      <c r="G195" s="77">
        <f>IF(A195="","",E195-F195)</f>
        <v/>
      </c>
      <c r="H195" s="39">
        <f>IF(OR(F195="",I195=""),"",F195*I195)</f>
        <v/>
      </c>
    </row>
    <row r="196" ht="18" customHeight="1" s="109">
      <c r="A196" s="12" t="n"/>
      <c r="B196" s="12" t="n"/>
      <c r="C196" s="12" t="n"/>
      <c r="D196" s="72" t="n"/>
      <c r="E196" s="12" t="n"/>
      <c r="F196" s="12" t="n"/>
      <c r="G196" s="77">
        <f>IF(A196="","",E196-F196)</f>
        <v/>
      </c>
      <c r="H196" s="39">
        <f>IF(OR(F196="",I196=""),"",F196*I196)</f>
        <v/>
      </c>
    </row>
    <row r="197" ht="18" customHeight="1" s="109">
      <c r="A197" s="8" t="n"/>
      <c r="B197" s="8" t="n"/>
      <c r="C197" s="8" t="n"/>
      <c r="D197" s="70" t="n"/>
      <c r="E197" s="8" t="n"/>
      <c r="F197" s="8" t="n"/>
      <c r="G197" s="77">
        <f>IF(A197="","",E197-F197)</f>
        <v/>
      </c>
      <c r="H197" s="39">
        <f>IF(OR(F197="",I197=""),"",F197*I197)</f>
        <v/>
      </c>
    </row>
    <row r="198" ht="18" customHeight="1" s="109">
      <c r="A198" s="12" t="n"/>
      <c r="B198" s="12" t="n"/>
      <c r="C198" s="12" t="n"/>
      <c r="D198" s="72" t="n"/>
      <c r="E198" s="12" t="n"/>
      <c r="F198" s="12" t="n"/>
      <c r="G198" s="77">
        <f>IF(A198="","",E198-F198)</f>
        <v/>
      </c>
      <c r="H198" s="39">
        <f>IF(OR(F198="",I198=""),"",F198*I198)</f>
        <v/>
      </c>
    </row>
    <row r="199" ht="18" customHeight="1" s="109">
      <c r="A199" s="8" t="n"/>
      <c r="B199" s="8" t="n"/>
      <c r="C199" s="8" t="n"/>
      <c r="D199" s="70" t="n"/>
      <c r="E199" s="8" t="n"/>
      <c r="F199" s="8" t="n"/>
      <c r="G199" s="77">
        <f>IF(A199="","",E199-F199)</f>
        <v/>
      </c>
      <c r="H199" s="39">
        <f>IF(OR(F199="",I199=""),"",F199*I199)</f>
        <v/>
      </c>
    </row>
    <row r="200" ht="18" customHeight="1" s="109">
      <c r="A200" s="12" t="n"/>
      <c r="B200" s="12" t="n"/>
      <c r="C200" s="12" t="n"/>
      <c r="D200" s="72" t="n"/>
      <c r="E200" s="12" t="n"/>
      <c r="F200" s="12" t="n"/>
      <c r="G200" s="77">
        <f>IF(A200="","",E200-F200)</f>
        <v/>
      </c>
      <c r="H200" s="39">
        <f>IF(OR(F200="",I200=""),"",F200*I200)</f>
        <v/>
      </c>
    </row>
    <row r="201" ht="18" customHeight="1" s="109">
      <c r="A201" s="8" t="n"/>
      <c r="B201" s="8" t="n"/>
      <c r="C201" s="8" t="n"/>
      <c r="D201" s="70" t="n"/>
      <c r="E201" s="8" t="n"/>
      <c r="F201" s="8" t="n"/>
      <c r="G201" s="77">
        <f>IF(A201="","",E201-F201)</f>
        <v/>
      </c>
      <c r="H201" s="39">
        <f>IF(OR(F201="",I201=""),"",F201*I201)</f>
        <v/>
      </c>
    </row>
    <row r="202" ht="18" customHeight="1" s="109">
      <c r="A202" s="12" t="n"/>
      <c r="B202" s="12" t="n"/>
      <c r="C202" s="12" t="n"/>
      <c r="D202" s="72" t="n"/>
      <c r="E202" s="12" t="n"/>
      <c r="F202" s="12" t="n"/>
      <c r="G202" s="77">
        <f>IF(A202="","",E202-F202)</f>
        <v/>
      </c>
      <c r="H202" s="39">
        <f>IF(OR(F202="",I202=""),"",F202*I202)</f>
        <v/>
      </c>
    </row>
    <row r="203" ht="18" customHeight="1" s="109">
      <c r="A203" s="8" t="n"/>
      <c r="B203" s="8" t="n"/>
      <c r="C203" s="8" t="n"/>
      <c r="D203" s="70" t="n"/>
      <c r="E203" s="8" t="n"/>
      <c r="F203" s="8" t="n"/>
      <c r="G203" s="77">
        <f>IF(A203="","",E203-F203)</f>
        <v/>
      </c>
      <c r="H203" s="39">
        <f>IF(OR(F203="",I203=""),"",F203*I203)</f>
        <v/>
      </c>
    </row>
    <row r="204" ht="18" customHeight="1" s="109">
      <c r="A204" s="12" t="n"/>
      <c r="B204" s="12" t="n"/>
      <c r="C204" s="12" t="n"/>
      <c r="D204" s="72" t="n"/>
      <c r="E204" s="12" t="n"/>
      <c r="F204" s="12" t="n"/>
      <c r="G204" s="77">
        <f>IF(A204="","",E204-F204)</f>
        <v/>
      </c>
      <c r="H204" s="39">
        <f>IF(OR(F204="",I204=""),"",F204*I204)</f>
        <v/>
      </c>
    </row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H1"/>
    <mergeCell ref="A2:H2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29.71" customWidth="1" style="109" min="1" max="1"/>
    <col width="36" customWidth="1" style="109" min="2" max="2"/>
    <col width="22" customWidth="1" style="109" min="3" max="3"/>
    <col width="34" customWidth="1" style="109" min="4" max="4"/>
    <col width="8.710000000000001" customWidth="1" style="109" min="5" max="26"/>
  </cols>
  <sheetData>
    <row r="1" ht="37.5" customHeight="1" s="109">
      <c r="A1" s="1" t="n"/>
      <c r="B1" s="110" t="inlineStr">
        <is>
          <t>Taldo Studio 3D  ·  Impressão 3D Personalizada  ·  @TaldoStudio3d  ·  Av. Sebastião Henriques, 575</t>
        </is>
      </c>
    </row>
    <row r="2" ht="9.75" customHeight="1" s="109">
      <c r="A2" s="111" t="n"/>
    </row>
    <row r="4" ht="19.5" customHeight="1" s="109">
      <c r="A4" s="7" t="inlineStr">
        <is>
          <t>DATA INÍCIO</t>
        </is>
      </c>
      <c r="B4" s="7" t="inlineStr">
        <is>
          <t>DATA FIM</t>
        </is>
      </c>
    </row>
    <row r="5" ht="21.75" customHeight="1" s="109">
      <c r="A5" s="59" t="n"/>
      <c r="B5" s="59" t="n"/>
    </row>
    <row r="6">
      <c r="A6" s="0" t="inlineStr">
        <is>
          <t>💡 Datas em branco = mostra TODOS os pedidos entregues</t>
        </is>
      </c>
    </row>
    <row r="7" ht="21.75" customHeight="1" s="109">
      <c r="A7" s="7" t="inlineStr">
        <is>
          <t>INDICADOR</t>
        </is>
      </c>
      <c r="B7" s="7" t="inlineStr">
        <is>
          <t>VALOR</t>
        </is>
      </c>
      <c r="C7" s="7" t="inlineStr">
        <is>
          <t>OBSERVAÇÃO</t>
        </is>
      </c>
    </row>
    <row r="8" ht="24" customHeight="1" s="109">
      <c r="A8" s="15" t="inlineStr">
        <is>
          <t>💰 Receita Bruta</t>
        </is>
      </c>
      <c r="B8" s="85">
        <f>IF(OR($A$5="",$B$5=""),SUMPRODUCT(('📦 Pedidos'!J5:J204="Entregue")*'📦 Pedidos'!H5:H204),SUMPRODUCT(('📦 Pedidos'!B5:B204&gt;=$A$5)*('📦 Pedidos'!B5:B204&lt;=$B$5)*('📦 Pedidos'!J5:J204="Entregue")*'📦 Pedidos'!H5:H204))</f>
        <v/>
      </c>
      <c r="C8" s="11" t="inlineStr">
        <is>
          <t>Pedidos entregues</t>
        </is>
      </c>
    </row>
    <row r="9" ht="24" customHeight="1" s="109">
      <c r="A9" s="19" t="inlineStr">
        <is>
          <t>📦 Pedidos Entregues</t>
        </is>
      </c>
      <c r="B9" s="86">
        <f>IF(OR($A$5="",$B$5=""),SUMPRODUCT(('📦 Pedidos'!J5:J204="Entregue")*1),SUMPRODUCT(('📦 Pedidos'!B5:B204&gt;=$A$5)*('📦 Pedidos'!B5:B204&lt;=$B$5)*('📦 Pedidos'!J5:J204="Entregue")*1))</f>
        <v/>
      </c>
      <c r="C9" s="14" t="inlineStr">
        <is>
          <t>Quantidade</t>
        </is>
      </c>
    </row>
    <row r="10" ht="24" customHeight="1" s="109">
      <c r="A10" s="15" t="inlineStr">
        <is>
          <t>🔧 Reserva Manutenção</t>
        </is>
      </c>
      <c r="B10" s="85">
        <f>'⚙️ Parâmetros'!B15*IF(OR($A$5="",$B$5=""),SUMPRODUCT(('📦 Pedidos'!J5:J204="Entregue")*'📦 Pedidos'!H5:H204),SUMPRODUCT(('📦 Pedidos'!B5:B204&gt;=$A$5)*('📦 Pedidos'!B5:B204&lt;=$B$5)*('📦 Pedidos'!J5:J204="Entregue")*'📦 Pedidos'!H5:H204))</f>
        <v/>
      </c>
      <c r="C10" s="11" t="inlineStr">
        <is>
          <t>10% receita bruta</t>
        </is>
      </c>
    </row>
    <row r="11" ht="24" customHeight="1" s="109">
      <c r="A11" s="19" t="inlineStr">
        <is>
          <t>🏪 Receita Consignados</t>
        </is>
      </c>
      <c r="B11" s="85">
        <f>SUM('🏪 Consignados'!H5:H204)</f>
        <v/>
      </c>
      <c r="C11" s="14" t="inlineStr">
        <is>
          <t>Acumulado bancas</t>
        </is>
      </c>
    </row>
    <row r="12" ht="24" customHeight="1" s="109">
      <c r="A12" s="15" t="inlineStr">
        <is>
          <t>📈 Receita Líquida</t>
        </is>
      </c>
      <c r="B12" s="85">
        <f>'📊 Relatório'!B8-'📊 Relatório'!B10</f>
        <v/>
      </c>
      <c r="C12" s="11" t="inlineStr">
        <is>
          <t>Bruta − Reserva</t>
        </is>
      </c>
    </row>
    <row r="13" ht="24" customHeight="1" s="109">
      <c r="A13" s="19" t="inlineStr">
        <is>
          <t>⚠️ Filamentos Críticos</t>
        </is>
      </c>
      <c r="B13" s="86">
        <f>COUNTIFS('🎨 Filamento'!$A$5:$A$400,"&lt;&gt;",'🎨 Filamento'!$F$5:$F$400,"&lt;200")</f>
        <v/>
      </c>
      <c r="C13" s="14" t="inlineStr">
        <is>
          <t>Abaixo de 200g</t>
        </is>
      </c>
    </row>
    <row r="14" ht="24" customHeight="1" s="109">
      <c r="A14" s="15" t="inlineStr">
        <is>
          <t>📦 Peças Estoque Baixo</t>
        </is>
      </c>
      <c r="B14" s="86">
        <f>COUNTIFS('📦 Est. Peças'!$A$5:$A$204,"&lt;&gt;",'📦 Est. Peças'!$G$5:$G$204,"&lt;5",'📦 Est. Peças'!$G$5:$G$204,"&gt;=0")</f>
        <v/>
      </c>
      <c r="C14" s="11" t="inlineStr">
        <is>
          <t>Menos de 5 unidades</t>
        </is>
      </c>
    </row>
    <row r="15" ht="24" customHeight="1" s="109">
      <c r="A15" s="19" t="inlineStr">
        <is>
          <t>🔨 Itens a Fabricar</t>
        </is>
      </c>
      <c r="B15" s="86">
        <f>COUNTIFS('🖨️ Produção'!$G$6:$G$205,"&gt;0")</f>
        <v/>
      </c>
      <c r="C15" s="14" t="inlineStr">
        <is>
          <t>Ordens abertas</t>
        </is>
      </c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2">
    <mergeCell ref="B1:D1"/>
    <mergeCell ref="A2:D2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109" min="1" max="1"/>
    <col width="27.14" customWidth="1" style="109" min="2" max="2"/>
    <col width="14" customWidth="1" style="109" min="3" max="3"/>
    <col width="28.86" customWidth="1" style="109" min="4" max="4"/>
    <col width="18.43" customWidth="1" style="109" min="5" max="5"/>
    <col width="20.29" customWidth="1" style="109" min="6" max="6"/>
    <col width="24" customWidth="1" style="109" min="7" max="7"/>
    <col width="10" customWidth="1" style="109" min="8" max="9"/>
    <col width="12" customWidth="1" style="109" min="10" max="13"/>
    <col width="10" customWidth="1" style="109" min="14" max="14"/>
    <col width="14" customWidth="1" style="109" min="15" max="26"/>
    <col width="14" customWidth="1" style="109" min="16" max="16"/>
    <col width="16" customWidth="1" style="109" min="17" max="17"/>
  </cols>
  <sheetData>
    <row r="1" ht="30" customHeight="1" s="109">
      <c r="A1" s="119" t="inlineStr">
        <is>
          <t>Taldo Studio 3D  ·  Projeção de Parcelas — Lançamentos  ·  v7.2</t>
        </is>
      </c>
    </row>
    <row r="2" ht="7.5" customHeight="1" s="109">
      <c r="A2" s="111" t="n"/>
    </row>
    <row r="3" ht="15.75" customHeight="1" s="109">
      <c r="A3" s="113" t="inlineStr">
        <is>
          <t>💡  Preencha: Origem, Data na Fatura (quando apareceu no cartão), Valor, Tipo, Parcelas e Parc. Atual (ex: 5 em 05/10). A coluna 'Início da Compra' calcula sozinha quantos meses atrás foi a compra. Deixe a Data em branco para usar o mês atual.</t>
        </is>
      </c>
    </row>
    <row r="4" ht="21.75" customHeight="1" s="109">
      <c r="A4" s="7" t="inlineStr">
        <is>
          <t>#</t>
        </is>
      </c>
      <c r="B4" s="7" t="inlineStr">
        <is>
          <t>Origem</t>
        </is>
      </c>
      <c r="C4" s="7" t="inlineStr">
        <is>
          <t>Data na Fatura</t>
        </is>
      </c>
      <c r="D4" s="7" t="inlineStr">
        <is>
          <t>Descrição</t>
        </is>
      </c>
      <c r="E4" s="7" t="inlineStr">
        <is>
          <t>Cartão</t>
        </is>
      </c>
      <c r="F4" s="7" t="inlineStr">
        <is>
          <t>Valor</t>
        </is>
      </c>
      <c r="G4" s="7" t="inlineStr">
        <is>
          <t>Tipo</t>
        </is>
      </c>
      <c r="H4" s="7" t="inlineStr">
        <is>
          <t>Parcelas</t>
        </is>
      </c>
      <c r="I4" s="7" t="inlineStr">
        <is>
          <t>Parc. Atual</t>
        </is>
      </c>
      <c r="J4" s="58" t="inlineStr">
        <is>
          <t>Início da Compra</t>
        </is>
      </c>
      <c r="K4" s="88" t="inlineStr">
        <is>
          <t>Valor/Mês</t>
        </is>
      </c>
      <c r="L4" s="58" t="inlineStr">
        <is>
          <t>Total Compra</t>
        </is>
      </c>
      <c r="M4" s="7" t="inlineStr">
        <is>
          <t>Status</t>
        </is>
      </c>
      <c r="N4" s="7" t="inlineStr">
        <is>
          <t>Observações</t>
        </is>
      </c>
      <c r="O4" s="0" t="inlineStr">
        <is>
          <t>Mês Final</t>
        </is>
      </c>
      <c r="P4" s="0" t="inlineStr">
        <is>
          <t>Parc. Restantes</t>
        </is>
      </c>
      <c r="Q4" s="0" t="inlineStr">
        <is>
          <t>Validação</t>
        </is>
      </c>
    </row>
    <row r="5" ht="18" customHeight="1" s="109">
      <c r="A5" s="60">
        <f>IF(D5="","",ROW()-4)</f>
        <v/>
      </c>
      <c r="B5" s="8" t="inlineStr">
        <is>
          <t>Cartão fixo</t>
        </is>
      </c>
      <c r="C5" s="96" t="n"/>
      <c r="D5" s="8" t="inlineStr">
        <is>
          <t>Tuelá / primeira compra - 10x R$ 499</t>
        </is>
      </c>
      <c r="E5" s="33" t="inlineStr">
        <is>
          <t>Verde</t>
        </is>
      </c>
      <c r="F5" s="90" t="n">
        <v>499</v>
      </c>
      <c r="G5" s="33" t="inlineStr">
        <is>
          <t>Parcela mensal</t>
        </is>
      </c>
      <c r="H5" s="91" t="n">
        <v>10</v>
      </c>
      <c r="I5" s="91" t="n">
        <v>5</v>
      </c>
      <c r="J5" s="92">
        <f>IF(OR(I5="",H5=""),"",EDATE(DATE(YEAR(IF(C5="",TODAY(),C5)),MONTH(IF(C5="",TODAY(),C5)),1),-(I5-1)))</f>
        <v/>
      </c>
      <c r="K5" s="39">
        <f>IF(OR(F5="",H5=""),"",IF(G5="Parcela mensal",F5,F5/H5))</f>
        <v/>
      </c>
      <c r="L5" s="40">
        <f>IF(OR(F5="",H5=""),"",IF(G5="Parcela mensal",F5*H5,F5))</f>
        <v/>
      </c>
      <c r="M5" s="93" t="inlineStr">
        <is>
          <t>OK</t>
        </is>
      </c>
      <c r="N5" s="11" t="inlineStr">
        <is>
          <t>Exemplo: 10x R$499, 5ª parcela → compra iniciou há 4 meses.</t>
        </is>
      </c>
      <c r="O5" s="0">
        <f>IF(OR(J5="",H5=""),"",EDATE(J5,H5-1))</f>
        <v/>
      </c>
      <c r="P5" s="0">
        <f>IF(OR(H5="",I5=""),"",H5-I5)</f>
        <v/>
      </c>
      <c r="Q5" s="0">
        <f>IF(D5="","",IF(I5&gt;H5,"⚠️ Parc. inválida",IF(I5&lt;1,"⚠️ Parc. inválida","✅ Calculado")))</f>
        <v/>
      </c>
    </row>
    <row r="6" ht="18" customHeight="1" s="109">
      <c r="A6" s="64">
        <f>IF(D6="","",ROW()-4)</f>
        <v/>
      </c>
      <c r="B6" s="12" t="inlineStr">
        <is>
          <t>Cartão fixo</t>
        </is>
      </c>
      <c r="C6" s="94" t="n">
        <v>46124</v>
      </c>
      <c r="D6" s="12" t="inlineStr">
        <is>
          <t>Tuelá - 02/10 de R$ 529,10</t>
        </is>
      </c>
      <c r="E6" s="46" t="inlineStr">
        <is>
          <t>Verde</t>
        </is>
      </c>
      <c r="F6" s="90" t="n">
        <v>529.1</v>
      </c>
      <c r="G6" s="46" t="inlineStr">
        <is>
          <t>Parcela mensal</t>
        </is>
      </c>
      <c r="H6" s="91" t="n">
        <v>10</v>
      </c>
      <c r="I6" s="91" t="n">
        <v>2</v>
      </c>
      <c r="J6" s="92">
        <f>IF(OR(I6="",H6=""),"",EDATE(DATE(YEAR(IF(C6="",TODAY(),C6)),MONTH(IF(C6="",TODAY(),C6)),1),-(I6-1)))</f>
        <v/>
      </c>
      <c r="K6" s="39">
        <f>IF(OR(F6="",H6=""),"",IF(G6="Parcela mensal",F6,F6/H6))</f>
        <v/>
      </c>
      <c r="L6" s="40">
        <f>IF(OR(F6="",H6=""),"",IF(G6="Parcela mensal",F6*H6,F6))</f>
        <v/>
      </c>
      <c r="M6" s="95" t="inlineStr">
        <is>
          <t>Cancelado</t>
        </is>
      </c>
      <c r="N6" s="14" t="inlineStr">
        <is>
          <t>DUPLICATA — mesma compra da linha 5. Uma compra = uma linha.</t>
        </is>
      </c>
      <c r="O6" s="0">
        <f>IF(OR(J6="",H6=""),"",EDATE(J6,H6-1))</f>
        <v/>
      </c>
      <c r="P6" s="0">
        <f>IF(OR(H6="",I6=""),"",H6-I6)</f>
        <v/>
      </c>
      <c r="Q6" s="0">
        <f>IF(D6="","",IF(I6&gt;H6,"⚠️ Parc. inválida",IF(I6&lt;1,"⚠️ Parc. inválida","✅ Calculado")))</f>
        <v/>
      </c>
    </row>
    <row r="7" ht="18" customHeight="1" s="109">
      <c r="A7" s="60">
        <f>IF(D7="","",ROW()-4)</f>
        <v/>
      </c>
      <c r="B7" s="8" t="inlineStr">
        <is>
          <t>Cartão fixo</t>
        </is>
      </c>
      <c r="C7" s="96" t="n">
        <v>46151</v>
      </c>
      <c r="D7" s="8" t="inlineStr">
        <is>
          <t>Tuelá - 03/10 de R$ 529,10</t>
        </is>
      </c>
      <c r="E7" s="33" t="inlineStr">
        <is>
          <t>Verde</t>
        </is>
      </c>
      <c r="F7" s="90" t="n">
        <v>529.1</v>
      </c>
      <c r="G7" s="33" t="inlineStr">
        <is>
          <t>Parcela mensal</t>
        </is>
      </c>
      <c r="H7" s="91" t="n">
        <v>10</v>
      </c>
      <c r="I7" s="91" t="n">
        <v>3</v>
      </c>
      <c r="J7" s="92">
        <f>IF(OR(I7="",H7=""),"",EDATE(DATE(YEAR(IF(C7="",TODAY(),C7)),MONTH(IF(C7="",TODAY(),C7)),1),-(I7-1)))</f>
        <v/>
      </c>
      <c r="K7" s="39">
        <f>IF(OR(F7="",H7=""),"",IF(G7="Parcela mensal",F7,F7/H7))</f>
        <v/>
      </c>
      <c r="L7" s="40">
        <f>IF(OR(F7="",H7=""),"",IF(G7="Parcela mensal",F7*H7,F7))</f>
        <v/>
      </c>
      <c r="M7" s="95" t="inlineStr">
        <is>
          <t>Cancelado</t>
        </is>
      </c>
      <c r="N7" s="11" t="inlineStr">
        <is>
          <t>DUPLICATA — excluída da projeção.</t>
        </is>
      </c>
      <c r="O7" s="0">
        <f>IF(OR(J7="",H7=""),"",EDATE(J7,H7-1))</f>
        <v/>
      </c>
      <c r="P7" s="0">
        <f>IF(OR(H7="",I7=""),"",H7-I7)</f>
        <v/>
      </c>
      <c r="Q7" s="0">
        <f>IF(D7="","",IF(I7&gt;H7,"⚠️ Parc. inválida",IF(I7&lt;1,"⚠️ Parc. inválida","✅ Calculado")))</f>
        <v/>
      </c>
    </row>
    <row r="8" ht="18" customHeight="1" s="109">
      <c r="A8" s="64">
        <f>IF(D8="","",ROW()-4)</f>
        <v/>
      </c>
      <c r="B8" s="12" t="inlineStr">
        <is>
          <t>TikTok</t>
        </is>
      </c>
      <c r="C8" s="94" t="n">
        <v>46127</v>
      </c>
      <c r="D8" s="12" t="inlineStr">
        <is>
          <t>Compra TikTok (descrição não legível)</t>
        </is>
      </c>
      <c r="E8" s="46" t="inlineStr">
        <is>
          <t>9132</t>
        </is>
      </c>
      <c r="F8" s="90" t="n">
        <v>145</v>
      </c>
      <c r="G8" s="46" t="inlineStr">
        <is>
          <t>Total da compra</t>
        </is>
      </c>
      <c r="H8" s="91" t="n">
        <v>3</v>
      </c>
      <c r="I8" s="91" t="n">
        <v>1</v>
      </c>
      <c r="J8" s="92">
        <f>IF(OR(I8="",H8=""),"",EDATE(DATE(YEAR(IF(C8="",TODAY(),C8)),MONTH(IF(C8="",TODAY(),C8)),1),-(I8-1)))</f>
        <v/>
      </c>
      <c r="K8" s="39">
        <f>IF(OR(F8="",H8=""),"",IF(G8="Parcela mensal",F8,F8/H8))</f>
        <v/>
      </c>
      <c r="L8" s="40">
        <f>IF(OR(F8="",H8=""),"",IF(G8="Parcela mensal",F8*H8,F8))</f>
        <v/>
      </c>
      <c r="M8" s="95" t="inlineStr">
        <is>
          <t>Conferir</t>
        </is>
      </c>
      <c r="N8" s="14" t="inlineStr">
        <is>
          <t>Lido como 3x no papel.</t>
        </is>
      </c>
      <c r="O8" s="0">
        <f>IF(OR(J8="",H8=""),"",EDATE(J8,H8-1))</f>
        <v/>
      </c>
      <c r="P8" s="0">
        <f>IF(OR(H8="",I8=""),"",H8-I8)</f>
        <v/>
      </c>
      <c r="Q8" s="0">
        <f>IF(D8="","",IF(I8&gt;H8,"⚠️ Parc. inválida",IF(I8&lt;1,"⚠️ Parc. inválida","✅ Calculado")))</f>
        <v/>
      </c>
    </row>
    <row r="9" ht="18" customHeight="1" s="109">
      <c r="A9" s="60">
        <f>IF(D9="","",ROW()-4)</f>
        <v/>
      </c>
      <c r="B9" s="8" t="inlineStr">
        <is>
          <t>Shopee</t>
        </is>
      </c>
      <c r="C9" s="96" t="n">
        <v>46128</v>
      </c>
      <c r="D9" s="8" t="inlineStr">
        <is>
          <t>Compra Shopee</t>
        </is>
      </c>
      <c r="E9" s="33" t="inlineStr">
        <is>
          <t>9132</t>
        </is>
      </c>
      <c r="F9" s="90" t="n">
        <v>19.98</v>
      </c>
      <c r="G9" s="33" t="inlineStr">
        <is>
          <t>Total da compra</t>
        </is>
      </c>
      <c r="H9" s="91" t="n">
        <v>1</v>
      </c>
      <c r="I9" s="91" t="n">
        <v>1</v>
      </c>
      <c r="J9" s="92">
        <f>IF(OR(I9="",H9=""),"",EDATE(DATE(YEAR(IF(C9="",TODAY(),C9)),MONTH(IF(C9="",TODAY(),C9)),1),-(I9-1)))</f>
        <v/>
      </c>
      <c r="K9" s="39">
        <f>IF(OR(F9="",H9=""),"",IF(G9="Parcela mensal",F9,F9/H9))</f>
        <v/>
      </c>
      <c r="L9" s="40">
        <f>IF(OR(F9="",H9=""),"",IF(G9="Parcela mensal",F9*H9,F9))</f>
        <v/>
      </c>
      <c r="M9" s="93" t="inlineStr">
        <is>
          <t>OK</t>
        </is>
      </c>
      <c r="N9" s="11" t="n"/>
      <c r="O9" s="0">
        <f>IF(OR(J9="",H9=""),"",EDATE(J9,H9-1))</f>
        <v/>
      </c>
      <c r="P9" s="0">
        <f>IF(OR(H9="",I9=""),"",H9-I9)</f>
        <v/>
      </c>
      <c r="Q9" s="0">
        <f>IF(D9="","",IF(I9&gt;H9,"⚠️ Parc. inválida",IF(I9&lt;1,"⚠️ Parc. inválida","✅ Calculado")))</f>
        <v/>
      </c>
    </row>
    <row r="10" ht="18" customHeight="1" s="109">
      <c r="A10" s="64">
        <f>IF(D10="","",ROW()-4)</f>
        <v/>
      </c>
      <c r="B10" s="12" t="inlineStr">
        <is>
          <t>Shopee</t>
        </is>
      </c>
      <c r="C10" s="94" t="n">
        <v>46128</v>
      </c>
      <c r="D10" s="12" t="inlineStr">
        <is>
          <t>Compra Shopee</t>
        </is>
      </c>
      <c r="E10" s="46" t="inlineStr">
        <is>
          <t>9132</t>
        </is>
      </c>
      <c r="F10" s="90" t="n">
        <v>10.5</v>
      </c>
      <c r="G10" s="46" t="inlineStr">
        <is>
          <t>Total da compra</t>
        </is>
      </c>
      <c r="H10" s="91" t="n">
        <v>1</v>
      </c>
      <c r="I10" s="91" t="n">
        <v>1</v>
      </c>
      <c r="J10" s="92">
        <f>IF(OR(I10="",H10=""),"",EDATE(DATE(YEAR(IF(C10="",TODAY(),C10)),MONTH(IF(C10="",TODAY(),C10)),1),-(I10-1)))</f>
        <v/>
      </c>
      <c r="K10" s="39">
        <f>IF(OR(F10="",H10=""),"",IF(G10="Parcela mensal",F10,F10/H10))</f>
        <v/>
      </c>
      <c r="L10" s="40">
        <f>IF(OR(F10="",H10=""),"",IF(G10="Parcela mensal",F10*H10,F10))</f>
        <v/>
      </c>
      <c r="M10" s="93" t="inlineStr">
        <is>
          <t>OK</t>
        </is>
      </c>
      <c r="N10" s="14" t="n"/>
      <c r="O10" s="0">
        <f>IF(OR(J10="",H10=""),"",EDATE(J10,H10-1))</f>
        <v/>
      </c>
      <c r="P10" s="0">
        <f>IF(OR(H10="",I10=""),"",H10-I10)</f>
        <v/>
      </c>
      <c r="Q10" s="0">
        <f>IF(D10="","",IF(I10&gt;H10,"⚠️ Parc. inválida",IF(I10&lt;1,"⚠️ Parc. inválida","✅ Calculado")))</f>
        <v/>
      </c>
    </row>
    <row r="11" ht="18" customHeight="1" s="109">
      <c r="A11" s="60">
        <f>IF(D11="","",ROW()-4)</f>
        <v/>
      </c>
      <c r="B11" s="8" t="inlineStr">
        <is>
          <t>Compra digitada</t>
        </is>
      </c>
      <c r="C11" s="96" t="n">
        <v>46129</v>
      </c>
      <c r="D11" s="8" t="inlineStr">
        <is>
          <t>Café / lava roupas / pastilha</t>
        </is>
      </c>
      <c r="E11" s="33" t="inlineStr">
        <is>
          <t>7226</t>
        </is>
      </c>
      <c r="F11" s="90" t="n">
        <v>164.34</v>
      </c>
      <c r="G11" s="33" t="inlineStr">
        <is>
          <t>Parcela mensal</t>
        </is>
      </c>
      <c r="H11" s="91" t="n">
        <v>1</v>
      </c>
      <c r="I11" s="91" t="n">
        <v>1</v>
      </c>
      <c r="J11" s="92">
        <f>IF(OR(I11="",H11=""),"",EDATE(DATE(YEAR(IF(C11="",TODAY(),C11)),MONTH(IF(C11="",TODAY(),C11)),1),-(I11-1)))</f>
        <v/>
      </c>
      <c r="K11" s="39">
        <f>IF(OR(F11="",H11=""),"",IF(G11="Parcela mensal",F11,F11/H11))</f>
        <v/>
      </c>
      <c r="L11" s="40">
        <f>IF(OR(F11="",H11=""),"",IF(G11="Parcela mensal",F11*H11,F11))</f>
        <v/>
      </c>
      <c r="M11" s="93" t="inlineStr">
        <is>
          <t>OK</t>
        </is>
      </c>
      <c r="N11" s="11" t="n"/>
      <c r="O11" s="0">
        <f>IF(OR(J11="",H11=""),"",EDATE(J11,H11-1))</f>
        <v/>
      </c>
      <c r="P11" s="0">
        <f>IF(OR(H11="",I11=""),"",H11-I11)</f>
        <v/>
      </c>
      <c r="Q11" s="0">
        <f>IF(D11="","",IF(I11&gt;H11,"⚠️ Parc. inválida",IF(I11&lt;1,"⚠️ Parc. inválida","✅ Calculado")))</f>
        <v/>
      </c>
    </row>
    <row r="12" ht="18" customHeight="1" s="109">
      <c r="A12" s="64">
        <f>IF(D12="","",ROW()-4)</f>
        <v/>
      </c>
      <c r="B12" s="12" t="inlineStr">
        <is>
          <t>Compra digitada</t>
        </is>
      </c>
      <c r="C12" s="94" t="n">
        <v>46129</v>
      </c>
      <c r="D12" s="12" t="inlineStr">
        <is>
          <t>Filamento 2 rolos</t>
        </is>
      </c>
      <c r="E12" s="46" t="inlineStr">
        <is>
          <t>4416</t>
        </is>
      </c>
      <c r="F12" s="90" t="n">
        <v>37.84</v>
      </c>
      <c r="G12" s="46" t="inlineStr">
        <is>
          <t>Parcela mensal</t>
        </is>
      </c>
      <c r="H12" s="91" t="n">
        <v>6</v>
      </c>
      <c r="I12" s="91" t="n">
        <v>1</v>
      </c>
      <c r="J12" s="92">
        <f>IF(OR(I12="",H12=""),"",EDATE(DATE(YEAR(IF(C12="",TODAY(),C12)),MONTH(IF(C12="",TODAY(),C12)),1),-(I12-1)))</f>
        <v/>
      </c>
      <c r="K12" s="39">
        <f>IF(OR(F12="",H12=""),"",IF(G12="Parcela mensal",F12,F12/H12))</f>
        <v/>
      </c>
      <c r="L12" s="40">
        <f>IF(OR(F12="",H12=""),"",IF(G12="Parcela mensal",F12*H12,F12))</f>
        <v/>
      </c>
      <c r="M12" s="93" t="inlineStr">
        <is>
          <t>OK</t>
        </is>
      </c>
      <c r="N12" s="14" t="n"/>
      <c r="O12" s="0">
        <f>IF(OR(J12="",H12=""),"",EDATE(J12,H12-1))</f>
        <v/>
      </c>
      <c r="P12" s="0">
        <f>IF(OR(H12="",I12=""),"",H12-I12)</f>
        <v/>
      </c>
      <c r="Q12" s="0">
        <f>IF(D12="","",IF(I12&gt;H12,"⚠️ Parc. inválida",IF(I12&lt;1,"⚠️ Parc. inválida","✅ Calculado")))</f>
        <v/>
      </c>
    </row>
    <row r="13" ht="18" customHeight="1" s="109">
      <c r="A13" s="60">
        <f>IF(D13="","",ROW()-4)</f>
        <v/>
      </c>
      <c r="B13" s="8" t="inlineStr">
        <is>
          <t>Compra digitada</t>
        </is>
      </c>
      <c r="C13" s="96" t="n">
        <v>46129</v>
      </c>
      <c r="D13" s="8" t="inlineStr">
        <is>
          <t>Filamento 3 rolos + pacote de argola</t>
        </is>
      </c>
      <c r="E13" s="33" t="inlineStr">
        <is>
          <t>4416</t>
        </is>
      </c>
      <c r="F13" s="90" t="n">
        <v>58.93</v>
      </c>
      <c r="G13" s="33" t="inlineStr">
        <is>
          <t>Parcela mensal</t>
        </is>
      </c>
      <c r="H13" s="91" t="n">
        <v>10</v>
      </c>
      <c r="I13" s="91" t="n">
        <v>1</v>
      </c>
      <c r="J13" s="92">
        <f>IF(OR(I13="",H13=""),"",EDATE(DATE(YEAR(IF(C13="",TODAY(),C13)),MONTH(IF(C13="",TODAY(),C13)),1),-(I13-1)))</f>
        <v/>
      </c>
      <c r="K13" s="39">
        <f>IF(OR(F13="",H13=""),"",IF(G13="Parcela mensal",F13,F13/H13))</f>
        <v/>
      </c>
      <c r="L13" s="40">
        <f>IF(OR(F13="",H13=""),"",IF(G13="Parcela mensal",F13*H13,F13))</f>
        <v/>
      </c>
      <c r="M13" s="93" t="inlineStr">
        <is>
          <t>OK</t>
        </is>
      </c>
      <c r="N13" s="11" t="n"/>
      <c r="O13" s="0">
        <f>IF(OR(J13="",H13=""),"",EDATE(J13,H13-1))</f>
        <v/>
      </c>
      <c r="P13" s="0">
        <f>IF(OR(H13="",I13=""),"",H13-I13)</f>
        <v/>
      </c>
      <c r="Q13" s="0">
        <f>IF(D13="","",IF(I13&gt;H13,"⚠️ Parc. inválida",IF(I13&lt;1,"⚠️ Parc. inválida","✅ Calculado")))</f>
        <v/>
      </c>
    </row>
    <row r="14" ht="18" customHeight="1" s="109">
      <c r="A14" s="64">
        <f>IF(D14="","",ROW()-4)</f>
        <v/>
      </c>
      <c r="B14" s="12" t="inlineStr">
        <is>
          <t>Compra digitada</t>
        </is>
      </c>
      <c r="C14" s="94" t="n">
        <v>46129</v>
      </c>
      <c r="D14" s="12" t="inlineStr">
        <is>
          <t>Filamentos 7 rolos</t>
        </is>
      </c>
      <c r="E14" s="46" t="inlineStr">
        <is>
          <t>4416</t>
        </is>
      </c>
      <c r="F14" s="90" t="n">
        <v>90.3</v>
      </c>
      <c r="G14" s="46" t="inlineStr">
        <is>
          <t>Parcela mensal</t>
        </is>
      </c>
      <c r="H14" s="91" t="n">
        <v>10</v>
      </c>
      <c r="I14" s="91" t="n">
        <v>1</v>
      </c>
      <c r="J14" s="92">
        <f>IF(OR(I14="",H14=""),"",EDATE(DATE(YEAR(IF(C14="",TODAY(),C14)),MONTH(IF(C14="",TODAY(),C14)),1),-(I14-1)))</f>
        <v/>
      </c>
      <c r="K14" s="39">
        <f>IF(OR(F14="",H14=""),"",IF(G14="Parcela mensal",F14,F14/H14))</f>
        <v/>
      </c>
      <c r="L14" s="40">
        <f>IF(OR(F14="",H14=""),"",IF(G14="Parcela mensal",F14*H14,F14))</f>
        <v/>
      </c>
      <c r="M14" s="93" t="inlineStr">
        <is>
          <t>OK</t>
        </is>
      </c>
      <c r="N14" s="14" t="n"/>
      <c r="O14" s="0">
        <f>IF(OR(J14="",H14=""),"",EDATE(J14,H14-1))</f>
        <v/>
      </c>
      <c r="P14" s="0">
        <f>IF(OR(H14="",I14=""),"",H14-I14)</f>
        <v/>
      </c>
      <c r="Q14" s="0">
        <f>IF(D14="","",IF(I14&gt;H14,"⚠️ Parc. inválida",IF(I14&lt;1,"⚠️ Parc. inválida","✅ Calculado")))</f>
        <v/>
      </c>
    </row>
    <row r="15" ht="18" customHeight="1" s="109">
      <c r="A15" s="60">
        <f>IF(D15="","",ROW()-4)</f>
        <v/>
      </c>
      <c r="B15" s="8" t="inlineStr">
        <is>
          <t>Compra digitada</t>
        </is>
      </c>
      <c r="C15" s="96" t="n">
        <v>46129</v>
      </c>
      <c r="D15" s="8" t="inlineStr">
        <is>
          <t>Filamentos 8 rolos</t>
        </is>
      </c>
      <c r="E15" s="33" t="inlineStr">
        <is>
          <t>9132</t>
        </is>
      </c>
      <c r="F15" s="90" t="n">
        <v>82.27</v>
      </c>
      <c r="G15" s="33" t="inlineStr">
        <is>
          <t>Parcela mensal</t>
        </is>
      </c>
      <c r="H15" s="91" t="n">
        <v>10</v>
      </c>
      <c r="I15" s="91" t="n">
        <v>1</v>
      </c>
      <c r="J15" s="92">
        <f>IF(OR(I15="",H15=""),"",EDATE(DATE(YEAR(IF(C15="",TODAY(),C15)),MONTH(IF(C15="",TODAY(),C15)),1),-(I15-1)))</f>
        <v/>
      </c>
      <c r="K15" s="39">
        <f>IF(OR(F15="",H15=""),"",IF(G15="Parcela mensal",F15,F15/H15))</f>
        <v/>
      </c>
      <c r="L15" s="40">
        <f>IF(OR(F15="",H15=""),"",IF(G15="Parcela mensal",F15*H15,F15))</f>
        <v/>
      </c>
      <c r="M15" s="93" t="inlineStr">
        <is>
          <t>OK</t>
        </is>
      </c>
      <c r="N15" s="11" t="n"/>
      <c r="O15" s="0">
        <f>IF(OR(J15="",H15=""),"",EDATE(J15,H15-1))</f>
        <v/>
      </c>
      <c r="P15" s="0">
        <f>IF(OR(H15="",I15=""),"",H15-I15)</f>
        <v/>
      </c>
      <c r="Q15" s="0">
        <f>IF(D15="","",IF(I15&gt;H15,"⚠️ Parc. inválida",IF(I15&lt;1,"⚠️ Parc. inválida","✅ Calculado")))</f>
        <v/>
      </c>
    </row>
    <row r="16" ht="18" customHeight="1" s="109">
      <c r="A16" s="64">
        <f>IF(D16="","",ROW()-4)</f>
        <v/>
      </c>
      <c r="B16" s="12" t="inlineStr">
        <is>
          <t>TikTok</t>
        </is>
      </c>
      <c r="C16" s="94" t="n">
        <v>46129</v>
      </c>
      <c r="D16" s="12" t="inlineStr">
        <is>
          <t>Compra TikTok</t>
        </is>
      </c>
      <c r="E16" s="46" t="inlineStr">
        <is>
          <t>5022</t>
        </is>
      </c>
      <c r="F16" s="90" t="n">
        <v>38.71</v>
      </c>
      <c r="G16" s="46" t="inlineStr">
        <is>
          <t>Total da compra</t>
        </is>
      </c>
      <c r="H16" s="91" t="n">
        <v>5</v>
      </c>
      <c r="I16" s="91" t="n">
        <v>1</v>
      </c>
      <c r="J16" s="92">
        <f>IF(OR(I16="",H16=""),"",EDATE(DATE(YEAR(IF(C16="",TODAY(),C16)),MONTH(IF(C16="",TODAY(),C16)),1),-(I16-1)))</f>
        <v/>
      </c>
      <c r="K16" s="39">
        <f>IF(OR(F16="",H16=""),"",IF(G16="Parcela mensal",F16,F16/H16))</f>
        <v/>
      </c>
      <c r="L16" s="40">
        <f>IF(OR(F16="",H16=""),"",IF(G16="Parcela mensal",F16*H16,F16))</f>
        <v/>
      </c>
      <c r="M16" s="95" t="inlineStr">
        <is>
          <t>Conferir</t>
        </is>
      </c>
      <c r="N16" s="14" t="inlineStr">
        <is>
          <t>Lido como grupo 5x no cartão 5022.</t>
        </is>
      </c>
      <c r="O16" s="0">
        <f>IF(OR(J16="",H16=""),"",EDATE(J16,H16-1))</f>
        <v/>
      </c>
      <c r="P16" s="0">
        <f>IF(OR(H16="",I16=""),"",H16-I16)</f>
        <v/>
      </c>
      <c r="Q16" s="0">
        <f>IF(D16="","",IF(I16&gt;H16,"⚠️ Parc. inválida",IF(I16&lt;1,"⚠️ Parc. inválida","✅ Calculado")))</f>
        <v/>
      </c>
    </row>
    <row r="17" ht="18" customHeight="1" s="109">
      <c r="A17" s="60">
        <f>IF(D17="","",ROW()-4)</f>
        <v/>
      </c>
      <c r="B17" s="8" t="inlineStr">
        <is>
          <t>TikTok</t>
        </is>
      </c>
      <c r="C17" s="96" t="n">
        <v>46129</v>
      </c>
      <c r="D17" s="8" t="inlineStr">
        <is>
          <t>Compra TikTok</t>
        </is>
      </c>
      <c r="E17" s="33" t="inlineStr">
        <is>
          <t>5022</t>
        </is>
      </c>
      <c r="F17" s="90" t="n">
        <v>23.2</v>
      </c>
      <c r="G17" s="33" t="inlineStr">
        <is>
          <t>Total da compra</t>
        </is>
      </c>
      <c r="H17" s="91" t="n">
        <v>5</v>
      </c>
      <c r="I17" s="91" t="n">
        <v>1</v>
      </c>
      <c r="J17" s="92">
        <f>IF(OR(I17="",H17=""),"",EDATE(DATE(YEAR(IF(C17="",TODAY(),C17)),MONTH(IF(C17="",TODAY(),C17)),1),-(I17-1)))</f>
        <v/>
      </c>
      <c r="K17" s="39">
        <f>IF(OR(F17="",H17=""),"",IF(G17="Parcela mensal",F17,F17/H17))</f>
        <v/>
      </c>
      <c r="L17" s="40">
        <f>IF(OR(F17="",H17=""),"",IF(G17="Parcela mensal",F17*H17,F17))</f>
        <v/>
      </c>
      <c r="M17" s="95" t="inlineStr">
        <is>
          <t>Conferir</t>
        </is>
      </c>
      <c r="N17" s="11" t="inlineStr">
        <is>
          <t>Lido como grupo 5x no cartão 5022.</t>
        </is>
      </c>
      <c r="O17" s="0">
        <f>IF(OR(J17="",H17=""),"",EDATE(J17,H17-1))</f>
        <v/>
      </c>
      <c r="P17" s="0">
        <f>IF(OR(H17="",I17=""),"",H17-I17)</f>
        <v/>
      </c>
      <c r="Q17" s="0">
        <f>IF(D17="","",IF(I17&gt;H17,"⚠️ Parc. inválida",IF(I17&lt;1,"⚠️ Parc. inválida","✅ Calculado")))</f>
        <v/>
      </c>
    </row>
    <row r="18" ht="18" customHeight="1" s="109">
      <c r="A18" s="64">
        <f>IF(D18="","",ROW()-4)</f>
        <v/>
      </c>
      <c r="B18" s="12" t="inlineStr">
        <is>
          <t>Shopee</t>
        </is>
      </c>
      <c r="C18" s="94" t="n">
        <v>46130</v>
      </c>
      <c r="D18" s="12" t="inlineStr">
        <is>
          <t>Compra Shopee</t>
        </is>
      </c>
      <c r="E18" s="46" t="inlineStr">
        <is>
          <t>9132</t>
        </is>
      </c>
      <c r="F18" s="90" t="n">
        <v>87.33</v>
      </c>
      <c r="G18" s="46" t="inlineStr">
        <is>
          <t>Total da compra</t>
        </is>
      </c>
      <c r="H18" s="91" t="n">
        <v>4</v>
      </c>
      <c r="I18" s="91" t="n">
        <v>1</v>
      </c>
      <c r="J18" s="92">
        <f>IF(OR(I18="",H18=""),"",EDATE(DATE(YEAR(IF(C18="",TODAY(),C18)),MONTH(IF(C18="",TODAY(),C18)),1),-(I18-1)))</f>
        <v/>
      </c>
      <c r="K18" s="39">
        <f>IF(OR(F18="",H18=""),"",IF(G18="Parcela mensal",F18,F18/H18))</f>
        <v/>
      </c>
      <c r="L18" s="40">
        <f>IF(OR(F18="",H18=""),"",IF(G18="Parcela mensal",F18*H18,F18))</f>
        <v/>
      </c>
      <c r="M18" s="93" t="inlineStr">
        <is>
          <t>OK</t>
        </is>
      </c>
      <c r="N18" s="14" t="n"/>
      <c r="O18" s="0">
        <f>IF(OR(J18="",H18=""),"",EDATE(J18,H18-1))</f>
        <v/>
      </c>
      <c r="P18" s="0">
        <f>IF(OR(H18="",I18=""),"",H18-I18)</f>
        <v/>
      </c>
      <c r="Q18" s="0">
        <f>IF(D18="","",IF(I18&gt;H18,"⚠️ Parc. inválida",IF(I18&lt;1,"⚠️ Parc. inválida","✅ Calculado")))</f>
        <v/>
      </c>
    </row>
    <row r="19" ht="18" customHeight="1" s="109">
      <c r="A19" s="60">
        <f>IF(D19="","",ROW()-4)</f>
        <v/>
      </c>
      <c r="B19" s="8" t="inlineStr">
        <is>
          <t>Shopee</t>
        </is>
      </c>
      <c r="C19" s="96" t="n">
        <v>46131</v>
      </c>
      <c r="D19" s="8" t="inlineStr">
        <is>
          <t>Compra Shopee</t>
        </is>
      </c>
      <c r="E19" s="33" t="inlineStr">
        <is>
          <t>9132</t>
        </is>
      </c>
      <c r="F19" s="90" t="n">
        <v>38.04</v>
      </c>
      <c r="G19" s="33" t="inlineStr">
        <is>
          <t>Total da compra</t>
        </is>
      </c>
      <c r="H19" s="91" t="n">
        <v>4</v>
      </c>
      <c r="I19" s="91" t="n">
        <v>1</v>
      </c>
      <c r="J19" s="92">
        <f>IF(OR(I19="",H19=""),"",EDATE(DATE(YEAR(IF(C19="",TODAY(),C19)),MONTH(IF(C19="",TODAY(),C19)),1),-(I19-1)))</f>
        <v/>
      </c>
      <c r="K19" s="39">
        <f>IF(OR(F19="",H19=""),"",IF(G19="Parcela mensal",F19,F19/H19))</f>
        <v/>
      </c>
      <c r="L19" s="40">
        <f>IF(OR(F19="",H19=""),"",IF(G19="Parcela mensal",F19*H19,F19))</f>
        <v/>
      </c>
      <c r="M19" s="93" t="inlineStr">
        <is>
          <t>OK</t>
        </is>
      </c>
      <c r="N19" s="11" t="n"/>
      <c r="O19" s="0">
        <f>IF(OR(J19="",H19=""),"",EDATE(J19,H19-1))</f>
        <v/>
      </c>
      <c r="P19" s="0">
        <f>IF(OR(H19="",I19=""),"",H19-I19)</f>
        <v/>
      </c>
      <c r="Q19" s="0">
        <f>IF(D19="","",IF(I19&gt;H19,"⚠️ Parc. inválida",IF(I19&lt;1,"⚠️ Parc. inválida","✅ Calculado")))</f>
        <v/>
      </c>
    </row>
    <row r="20" ht="18" customHeight="1" s="109">
      <c r="A20" s="64">
        <f>IF(D20="","",ROW()-4)</f>
        <v/>
      </c>
      <c r="B20" s="12" t="inlineStr">
        <is>
          <t>Shopee</t>
        </is>
      </c>
      <c r="C20" s="94" t="n">
        <v>46131</v>
      </c>
      <c r="D20" s="12" t="inlineStr">
        <is>
          <t>Compra Shopee</t>
        </is>
      </c>
      <c r="E20" s="46" t="inlineStr">
        <is>
          <t>9132</t>
        </is>
      </c>
      <c r="F20" s="90" t="n">
        <v>30.87</v>
      </c>
      <c r="G20" s="46" t="inlineStr">
        <is>
          <t>Total da compra</t>
        </is>
      </c>
      <c r="H20" s="91" t="n">
        <v>4</v>
      </c>
      <c r="I20" s="91" t="n">
        <v>1</v>
      </c>
      <c r="J20" s="92">
        <f>IF(OR(I20="",H20=""),"",EDATE(DATE(YEAR(IF(C20="",TODAY(),C20)),MONTH(IF(C20="",TODAY(),C20)),1),-(I20-1)))</f>
        <v/>
      </c>
      <c r="K20" s="39">
        <f>IF(OR(F20="",H20=""),"",IF(G20="Parcela mensal",F20,F20/H20))</f>
        <v/>
      </c>
      <c r="L20" s="40">
        <f>IF(OR(F20="",H20=""),"",IF(G20="Parcela mensal",F20*H20,F20))</f>
        <v/>
      </c>
      <c r="M20" s="93" t="inlineStr">
        <is>
          <t>OK</t>
        </is>
      </c>
      <c r="N20" s="14" t="n"/>
      <c r="O20" s="0">
        <f>IF(OR(J20="",H20=""),"",EDATE(J20,H20-1))</f>
        <v/>
      </c>
      <c r="P20" s="0">
        <f>IF(OR(H20="",I20=""),"",H20-I20)</f>
        <v/>
      </c>
      <c r="Q20" s="0">
        <f>IF(D20="","",IF(I20&gt;H20,"⚠️ Parc. inválida",IF(I20&lt;1,"⚠️ Parc. inválida","✅ Calculado")))</f>
        <v/>
      </c>
    </row>
    <row r="21" ht="18" customHeight="1" s="109">
      <c r="A21" s="60">
        <f>IF(D21="","",ROW()-4)</f>
        <v/>
      </c>
      <c r="B21" s="8" t="inlineStr">
        <is>
          <t>Shopee</t>
        </is>
      </c>
      <c r="C21" s="96" t="n">
        <v>46131</v>
      </c>
      <c r="D21" s="8" t="inlineStr">
        <is>
          <t>Compra Shopee</t>
        </is>
      </c>
      <c r="E21" s="33" t="inlineStr">
        <is>
          <t>9132</t>
        </is>
      </c>
      <c r="F21" s="90" t="n">
        <v>75.14</v>
      </c>
      <c r="G21" s="33" t="inlineStr">
        <is>
          <t>Total da compra</t>
        </is>
      </c>
      <c r="H21" s="91" t="n">
        <v>4</v>
      </c>
      <c r="I21" s="91" t="n">
        <v>1</v>
      </c>
      <c r="J21" s="92">
        <f>IF(OR(I21="",H21=""),"",EDATE(DATE(YEAR(IF(C21="",TODAY(),C21)),MONTH(IF(C21="",TODAY(),C21)),1),-(I21-1)))</f>
        <v/>
      </c>
      <c r="K21" s="39">
        <f>IF(OR(F21="",H21=""),"",IF(G21="Parcela mensal",F21,F21/H21))</f>
        <v/>
      </c>
      <c r="L21" s="40">
        <f>IF(OR(F21="",H21=""),"",IF(G21="Parcela mensal",F21*H21,F21))</f>
        <v/>
      </c>
      <c r="M21" s="93" t="inlineStr">
        <is>
          <t>OK</t>
        </is>
      </c>
      <c r="N21" s="11" t="n"/>
      <c r="O21" s="0">
        <f>IF(OR(J21="",H21=""),"",EDATE(J21,H21-1))</f>
        <v/>
      </c>
      <c r="P21" s="0">
        <f>IF(OR(H21="",I21=""),"",H21-I21)</f>
        <v/>
      </c>
      <c r="Q21" s="0">
        <f>IF(D21="","",IF(I21&gt;H21,"⚠️ Parc. inválida",IF(I21&lt;1,"⚠️ Parc. inválida","✅ Calculado")))</f>
        <v/>
      </c>
    </row>
    <row r="22" ht="18" customHeight="1" s="109">
      <c r="A22" s="64">
        <f>IF(D22="","",ROW()-4)</f>
        <v/>
      </c>
      <c r="B22" s="12" t="inlineStr">
        <is>
          <t>Shopee</t>
        </is>
      </c>
      <c r="C22" s="94" t="n">
        <v>46131</v>
      </c>
      <c r="D22" s="12" t="inlineStr">
        <is>
          <t>Compra Shopee</t>
        </is>
      </c>
      <c r="E22" s="46" t="inlineStr">
        <is>
          <t>9132</t>
        </is>
      </c>
      <c r="F22" s="90" t="n">
        <v>30.33</v>
      </c>
      <c r="G22" s="46" t="inlineStr">
        <is>
          <t>Total da compra</t>
        </is>
      </c>
      <c r="H22" s="91" t="n">
        <v>4</v>
      </c>
      <c r="I22" s="91" t="n">
        <v>1</v>
      </c>
      <c r="J22" s="92">
        <f>IF(OR(I22="",H22=""),"",EDATE(DATE(YEAR(IF(C22="",TODAY(),C22)),MONTH(IF(C22="",TODAY(),C22)),1),-(I22-1)))</f>
        <v/>
      </c>
      <c r="K22" s="39">
        <f>IF(OR(F22="",H22=""),"",IF(G22="Parcela mensal",F22,F22/H22))</f>
        <v/>
      </c>
      <c r="L22" s="40">
        <f>IF(OR(F22="",H22=""),"",IF(G22="Parcela mensal",F22*H22,F22))</f>
        <v/>
      </c>
      <c r="M22" s="93" t="inlineStr">
        <is>
          <t>OK</t>
        </is>
      </c>
      <c r="N22" s="14" t="n"/>
      <c r="O22" s="0">
        <f>IF(OR(J22="",H22=""),"",EDATE(J22,H22-1))</f>
        <v/>
      </c>
      <c r="P22" s="0">
        <f>IF(OR(H22="",I22=""),"",H22-I22)</f>
        <v/>
      </c>
      <c r="Q22" s="0">
        <f>IF(D22="","",IF(I22&gt;H22,"⚠️ Parc. inválida",IF(I22&lt;1,"⚠️ Parc. inválida","✅ Calculado")))</f>
        <v/>
      </c>
    </row>
    <row r="23" ht="18" customHeight="1" s="109">
      <c r="A23" s="60">
        <f>IF(D23="","",ROW()-4)</f>
        <v/>
      </c>
      <c r="B23" s="8" t="inlineStr">
        <is>
          <t>TikTok</t>
        </is>
      </c>
      <c r="C23" s="96" t="n">
        <v>46133</v>
      </c>
      <c r="D23" s="8" t="inlineStr">
        <is>
          <t>Compra TikTok</t>
        </is>
      </c>
      <c r="E23" s="33" t="inlineStr">
        <is>
          <t>4416</t>
        </is>
      </c>
      <c r="F23" s="90" t="n">
        <v>458.36</v>
      </c>
      <c r="G23" s="33" t="inlineStr">
        <is>
          <t>Total da compra</t>
        </is>
      </c>
      <c r="H23" s="91" t="n">
        <v>1</v>
      </c>
      <c r="I23" s="91" t="n">
        <v>1</v>
      </c>
      <c r="J23" s="92">
        <f>IF(OR(I23="",H23=""),"",EDATE(DATE(YEAR(IF(C23="",TODAY(),C23)),MONTH(IF(C23="",TODAY(),C23)),1),-(I23-1)))</f>
        <v/>
      </c>
      <c r="K23" s="39">
        <f>IF(OR(F23="",H23=""),"",IF(G23="Parcela mensal",F23,F23/H23))</f>
        <v/>
      </c>
      <c r="L23" s="40">
        <f>IF(OR(F23="",H23=""),"",IF(G23="Parcela mensal",F23*H23,F23))</f>
        <v/>
      </c>
      <c r="M23" s="95" t="inlineStr">
        <is>
          <t>Conferir</t>
        </is>
      </c>
      <c r="N23" s="11" t="inlineStr">
        <is>
          <t>Sem parcela legível; considerei 1x.</t>
        </is>
      </c>
      <c r="O23" s="0">
        <f>IF(OR(J23="",H23=""),"",EDATE(J23,H23-1))</f>
        <v/>
      </c>
      <c r="P23" s="0">
        <f>IF(OR(H23="",I23=""),"",H23-I23)</f>
        <v/>
      </c>
      <c r="Q23" s="0">
        <f>IF(D23="","",IF(I23&gt;H23,"⚠️ Parc. inválida",IF(I23&lt;1,"⚠️ Parc. inválida","✅ Calculado")))</f>
        <v/>
      </c>
    </row>
    <row r="24" ht="18" customHeight="1" s="109">
      <c r="A24" s="64">
        <f>IF(D24="","",ROW()-4)</f>
        <v/>
      </c>
      <c r="B24" s="12" t="inlineStr">
        <is>
          <t>Shopee</t>
        </is>
      </c>
      <c r="C24" s="94" t="n">
        <v>46134</v>
      </c>
      <c r="D24" s="12" t="inlineStr">
        <is>
          <t>Compra Shopee</t>
        </is>
      </c>
      <c r="E24" s="46" t="inlineStr">
        <is>
          <t>7226</t>
        </is>
      </c>
      <c r="F24" s="90" t="n">
        <v>43.37</v>
      </c>
      <c r="G24" s="46" t="inlineStr">
        <is>
          <t>Total da compra</t>
        </is>
      </c>
      <c r="H24" s="91" t="n">
        <v>3</v>
      </c>
      <c r="I24" s="91" t="n">
        <v>1</v>
      </c>
      <c r="J24" s="92">
        <f>IF(OR(I24="",H24=""),"",EDATE(DATE(YEAR(IF(C24="",TODAY(),C24)),MONTH(IF(C24="",TODAY(),C24)),1),-(I24-1)))</f>
        <v/>
      </c>
      <c r="K24" s="39">
        <f>IF(OR(F24="",H24=""),"",IF(G24="Parcela mensal",F24,F24/H24))</f>
        <v/>
      </c>
      <c r="L24" s="40">
        <f>IF(OR(F24="",H24=""),"",IF(G24="Parcela mensal",F24*H24,F24))</f>
        <v/>
      </c>
      <c r="M24" s="93" t="inlineStr">
        <is>
          <t>OK</t>
        </is>
      </c>
      <c r="N24" s="14" t="n"/>
      <c r="O24" s="0">
        <f>IF(OR(J24="",H24=""),"",EDATE(J24,H24-1))</f>
        <v/>
      </c>
      <c r="P24" s="0">
        <f>IF(OR(H24="",I24=""),"",H24-I24)</f>
        <v/>
      </c>
      <c r="Q24" s="0">
        <f>IF(D24="","",IF(I24&gt;H24,"⚠️ Parc. inválida",IF(I24&lt;1,"⚠️ Parc. inválida","✅ Calculado")))</f>
        <v/>
      </c>
    </row>
    <row r="25" ht="18" customHeight="1" s="109">
      <c r="A25" s="60">
        <f>IF(D25="","",ROW()-4)</f>
        <v/>
      </c>
      <c r="B25" s="8" t="inlineStr">
        <is>
          <t>Shopee</t>
        </is>
      </c>
      <c r="C25" s="96" t="n">
        <v>46134</v>
      </c>
      <c r="D25" s="8" t="inlineStr">
        <is>
          <t>Compra Shopee</t>
        </is>
      </c>
      <c r="E25" s="33" t="inlineStr">
        <is>
          <t>7226</t>
        </is>
      </c>
      <c r="F25" s="90" t="n">
        <v>34.03</v>
      </c>
      <c r="G25" s="33" t="inlineStr">
        <is>
          <t>Total da compra</t>
        </is>
      </c>
      <c r="H25" s="91" t="n">
        <v>3</v>
      </c>
      <c r="I25" s="91" t="n">
        <v>1</v>
      </c>
      <c r="J25" s="92">
        <f>IF(OR(I25="",H25=""),"",EDATE(DATE(YEAR(IF(C25="",TODAY(),C25)),MONTH(IF(C25="",TODAY(),C25)),1),-(I25-1)))</f>
        <v/>
      </c>
      <c r="K25" s="39">
        <f>IF(OR(F25="",H25=""),"",IF(G25="Parcela mensal",F25,F25/H25))</f>
        <v/>
      </c>
      <c r="L25" s="40">
        <f>IF(OR(F25="",H25=""),"",IF(G25="Parcela mensal",F25*H25,F25))</f>
        <v/>
      </c>
      <c r="M25" s="93" t="inlineStr">
        <is>
          <t>OK</t>
        </is>
      </c>
      <c r="N25" s="11" t="n"/>
      <c r="O25" s="0">
        <f>IF(OR(J25="",H25=""),"",EDATE(J25,H25-1))</f>
        <v/>
      </c>
      <c r="P25" s="0">
        <f>IF(OR(H25="",I25=""),"",H25-I25)</f>
        <v/>
      </c>
      <c r="Q25" s="0">
        <f>IF(D25="","",IF(I25&gt;H25,"⚠️ Parc. inválida",IF(I25&lt;1,"⚠️ Parc. inválida","✅ Calculado")))</f>
        <v/>
      </c>
    </row>
    <row r="26" ht="18" customHeight="1" s="109">
      <c r="A26" s="64">
        <f>IF(D26="","",ROW()-4)</f>
        <v/>
      </c>
      <c r="B26" s="12" t="inlineStr">
        <is>
          <t>Shopee</t>
        </is>
      </c>
      <c r="C26" s="94" t="n">
        <v>46134</v>
      </c>
      <c r="D26" s="12" t="inlineStr">
        <is>
          <t>Compra Shopee</t>
        </is>
      </c>
      <c r="E26" s="46" t="inlineStr">
        <is>
          <t>7226</t>
        </is>
      </c>
      <c r="F26" s="90" t="n">
        <v>14.26</v>
      </c>
      <c r="G26" s="46" t="inlineStr">
        <is>
          <t>Total da compra</t>
        </is>
      </c>
      <c r="H26" s="91" t="n">
        <v>3</v>
      </c>
      <c r="I26" s="91" t="n">
        <v>1</v>
      </c>
      <c r="J26" s="92">
        <f>IF(OR(I26="",H26=""),"",EDATE(DATE(YEAR(IF(C26="",TODAY(),C26)),MONTH(IF(C26="",TODAY(),C26)),1),-(I26-1)))</f>
        <v/>
      </c>
      <c r="K26" s="39">
        <f>IF(OR(F26="",H26=""),"",IF(G26="Parcela mensal",F26,F26/H26))</f>
        <v/>
      </c>
      <c r="L26" s="40">
        <f>IF(OR(F26="",H26=""),"",IF(G26="Parcela mensal",F26*H26,F26))</f>
        <v/>
      </c>
      <c r="M26" s="95" t="inlineStr">
        <is>
          <t>Conferir</t>
        </is>
      </c>
      <c r="N26" s="14" t="inlineStr">
        <is>
          <t>Lido como 14,26 para bater com total do grupo 112,95.</t>
        </is>
      </c>
      <c r="O26" s="0">
        <f>IF(OR(J26="",H26=""),"",EDATE(J26,H26-1))</f>
        <v/>
      </c>
      <c r="P26" s="0">
        <f>IF(OR(H26="",I26=""),"",H26-I26)</f>
        <v/>
      </c>
      <c r="Q26" s="0">
        <f>IF(D26="","",IF(I26&gt;H26,"⚠️ Parc. inválida",IF(I26&lt;1,"⚠️ Parc. inválida","✅ Calculado")))</f>
        <v/>
      </c>
    </row>
    <row r="27" ht="18" customHeight="1" s="109">
      <c r="A27" s="60">
        <f>IF(D27="","",ROW()-4)</f>
        <v/>
      </c>
      <c r="B27" s="8" t="inlineStr">
        <is>
          <t>Shopee</t>
        </is>
      </c>
      <c r="C27" s="96" t="n">
        <v>46134</v>
      </c>
      <c r="D27" s="8" t="inlineStr">
        <is>
          <t>Compra Shopee</t>
        </is>
      </c>
      <c r="E27" s="33" t="inlineStr">
        <is>
          <t>7226</t>
        </is>
      </c>
      <c r="F27" s="90" t="n">
        <v>21.29</v>
      </c>
      <c r="G27" s="33" t="inlineStr">
        <is>
          <t>Total da compra</t>
        </is>
      </c>
      <c r="H27" s="91" t="n">
        <v>3</v>
      </c>
      <c r="I27" s="91" t="n">
        <v>1</v>
      </c>
      <c r="J27" s="92">
        <f>IF(OR(I27="",H27=""),"",EDATE(DATE(YEAR(IF(C27="",TODAY(),C27)),MONTH(IF(C27="",TODAY(),C27)),1),-(I27-1)))</f>
        <v/>
      </c>
      <c r="K27" s="39">
        <f>IF(OR(F27="",H27=""),"",IF(G27="Parcela mensal",F27,F27/H27))</f>
        <v/>
      </c>
      <c r="L27" s="40">
        <f>IF(OR(F27="",H27=""),"",IF(G27="Parcela mensal",F27*H27,F27))</f>
        <v/>
      </c>
      <c r="M27" s="93" t="inlineStr">
        <is>
          <t>OK</t>
        </is>
      </c>
      <c r="N27" s="11" t="n"/>
      <c r="O27" s="0">
        <f>IF(OR(J27="",H27=""),"",EDATE(J27,H27-1))</f>
        <v/>
      </c>
      <c r="P27" s="0">
        <f>IF(OR(H27="",I27=""),"",H27-I27)</f>
        <v/>
      </c>
      <c r="Q27" s="0">
        <f>IF(D27="","",IF(I27&gt;H27,"⚠️ Parc. inválida",IF(I27&lt;1,"⚠️ Parc. inválida","✅ Calculado")))</f>
        <v/>
      </c>
    </row>
    <row r="28" ht="18" customHeight="1" s="109">
      <c r="A28" s="64">
        <f>IF(D28="","",ROW()-4)</f>
        <v/>
      </c>
      <c r="B28" s="12" t="inlineStr">
        <is>
          <t>Shopee</t>
        </is>
      </c>
      <c r="C28" s="94" t="n">
        <v>46137</v>
      </c>
      <c r="D28" s="12" t="inlineStr">
        <is>
          <t>Compra Shopee</t>
        </is>
      </c>
      <c r="E28" s="46" t="inlineStr">
        <is>
          <t>4416</t>
        </is>
      </c>
      <c r="F28" s="90" t="n">
        <v>70.39</v>
      </c>
      <c r="G28" s="46" t="inlineStr">
        <is>
          <t>Total da compra</t>
        </is>
      </c>
      <c r="H28" s="91" t="n">
        <v>2</v>
      </c>
      <c r="I28" s="91" t="n">
        <v>1</v>
      </c>
      <c r="J28" s="92">
        <f>IF(OR(I28="",H28=""),"",EDATE(DATE(YEAR(IF(C28="",TODAY(),C28)),MONTH(IF(C28="",TODAY(),C28)),1),-(I28-1)))</f>
        <v/>
      </c>
      <c r="K28" s="39">
        <f>IF(OR(F28="",H28=""),"",IF(G28="Parcela mensal",F28,F28/H28))</f>
        <v/>
      </c>
      <c r="L28" s="40">
        <f>IF(OR(F28="",H28=""),"",IF(G28="Parcela mensal",F28*H28,F28))</f>
        <v/>
      </c>
      <c r="M28" s="93" t="inlineStr">
        <is>
          <t>OK</t>
        </is>
      </c>
      <c r="N28" s="14" t="n"/>
      <c r="O28" s="0">
        <f>IF(OR(J28="",H28=""),"",EDATE(J28,H28-1))</f>
        <v/>
      </c>
      <c r="P28" s="0">
        <f>IF(OR(H28="",I28=""),"",H28-I28)</f>
        <v/>
      </c>
      <c r="Q28" s="0">
        <f>IF(D28="","",IF(I28&gt;H28,"⚠️ Parc. inválida",IF(I28&lt;1,"⚠️ Parc. inválida","✅ Calculado")))</f>
        <v/>
      </c>
    </row>
    <row r="29" ht="18" customHeight="1" s="109">
      <c r="A29" s="60">
        <f>IF(D29="","",ROW()-4)</f>
        <v/>
      </c>
      <c r="B29" s="8" t="inlineStr">
        <is>
          <t>Shopee</t>
        </is>
      </c>
      <c r="C29" s="96" t="n">
        <v>46137</v>
      </c>
      <c r="D29" s="8" t="inlineStr">
        <is>
          <t>Compra Shopee</t>
        </is>
      </c>
      <c r="E29" s="33" t="inlineStr">
        <is>
          <t>4416</t>
        </is>
      </c>
      <c r="F29" s="90" t="n">
        <v>42.38</v>
      </c>
      <c r="G29" s="33" t="inlineStr">
        <is>
          <t>Total da compra</t>
        </is>
      </c>
      <c r="H29" s="91" t="n">
        <v>2</v>
      </c>
      <c r="I29" s="91" t="n">
        <v>1</v>
      </c>
      <c r="J29" s="92">
        <f>IF(OR(I29="",H29=""),"",EDATE(DATE(YEAR(IF(C29="",TODAY(),C29)),MONTH(IF(C29="",TODAY(),C29)),1),-(I29-1)))</f>
        <v/>
      </c>
      <c r="K29" s="39">
        <f>IF(OR(F29="",H29=""),"",IF(G29="Parcela mensal",F29,F29/H29))</f>
        <v/>
      </c>
      <c r="L29" s="40">
        <f>IF(OR(F29="",H29=""),"",IF(G29="Parcela mensal",F29*H29,F29))</f>
        <v/>
      </c>
      <c r="M29" s="93" t="inlineStr">
        <is>
          <t>OK</t>
        </is>
      </c>
      <c r="N29" s="11" t="n"/>
      <c r="O29" s="0">
        <f>IF(OR(J29="",H29=""),"",EDATE(J29,H29-1))</f>
        <v/>
      </c>
      <c r="P29" s="0">
        <f>IF(OR(H29="",I29=""),"",H29-I29)</f>
        <v/>
      </c>
      <c r="Q29" s="0">
        <f>IF(D29="","",IF(I29&gt;H29,"⚠️ Parc. inválida",IF(I29&lt;1,"⚠️ Parc. inválida","✅ Calculado")))</f>
        <v/>
      </c>
    </row>
    <row r="30" ht="18" customHeight="1" s="109">
      <c r="A30" s="64">
        <f>IF(D30="","",ROW()-4)</f>
        <v/>
      </c>
      <c r="B30" s="12" t="inlineStr">
        <is>
          <t>Shopee</t>
        </is>
      </c>
      <c r="C30" s="94" t="n">
        <v>46141</v>
      </c>
      <c r="D30" s="12" t="inlineStr">
        <is>
          <t>Compra Shopee</t>
        </is>
      </c>
      <c r="E30" s="46" t="inlineStr">
        <is>
          <t>8678 NU</t>
        </is>
      </c>
      <c r="F30" s="90" t="n">
        <v>17.8</v>
      </c>
      <c r="G30" s="46" t="inlineStr">
        <is>
          <t>Total da compra</t>
        </is>
      </c>
      <c r="H30" s="91" t="n">
        <v>1</v>
      </c>
      <c r="I30" s="91" t="n">
        <v>1</v>
      </c>
      <c r="J30" s="92">
        <f>IF(OR(I30="",H30=""),"",EDATE(DATE(YEAR(IF(C30="",TODAY(),C30)),MONTH(IF(C30="",TODAY(),C30)),1),-(I30-1)))</f>
        <v/>
      </c>
      <c r="K30" s="39">
        <f>IF(OR(F30="",H30=""),"",IF(G30="Parcela mensal",F30,F30/H30))</f>
        <v/>
      </c>
      <c r="L30" s="40">
        <f>IF(OR(F30="",H30=""),"",IF(G30="Parcela mensal",F30*H30,F30))</f>
        <v/>
      </c>
      <c r="M30" s="93" t="inlineStr">
        <is>
          <t>OK</t>
        </is>
      </c>
      <c r="N30" s="14" t="n"/>
      <c r="O30" s="0">
        <f>IF(OR(J30="",H30=""),"",EDATE(J30,H30-1))</f>
        <v/>
      </c>
      <c r="P30" s="0">
        <f>IF(OR(H30="",I30=""),"",H30-I30)</f>
        <v/>
      </c>
      <c r="Q30" s="0">
        <f>IF(D30="","",IF(I30&gt;H30,"⚠️ Parc. inválida",IF(I30&lt;1,"⚠️ Parc. inválida","✅ Calculado")))</f>
        <v/>
      </c>
    </row>
    <row r="31" ht="18" customHeight="1" s="109">
      <c r="A31" s="60">
        <f>IF(D31="","",ROW()-4)</f>
        <v/>
      </c>
      <c r="B31" s="8" t="inlineStr">
        <is>
          <t>Cartão fixo</t>
        </is>
      </c>
      <c r="C31" s="96" t="n">
        <v>46142</v>
      </c>
      <c r="D31" s="8" t="inlineStr">
        <is>
          <t>Casa Touro - 01/02</t>
        </is>
      </c>
      <c r="E31" s="33" t="inlineStr">
        <is>
          <t>Laranja</t>
        </is>
      </c>
      <c r="F31" s="90" t="n">
        <v>284.9</v>
      </c>
      <c r="G31" s="33" t="inlineStr">
        <is>
          <t>Parcela mensal</t>
        </is>
      </c>
      <c r="H31" s="91" t="n">
        <v>2</v>
      </c>
      <c r="I31" s="91" t="n">
        <v>1</v>
      </c>
      <c r="J31" s="92">
        <f>IF(OR(I31="",H31=""),"",EDATE(DATE(YEAR(IF(C31="",TODAY(),C31)),MONTH(IF(C31="",TODAY(),C31)),1),-(I31-1)))</f>
        <v/>
      </c>
      <c r="K31" s="39">
        <f>IF(OR(F31="",H31=""),"",IF(G31="Parcela mensal",F31,F31/H31))</f>
        <v/>
      </c>
      <c r="L31" s="40">
        <f>IF(OR(F31="",H31=""),"",IF(G31="Parcela mensal",F31*H31,F31))</f>
        <v/>
      </c>
      <c r="M31" s="95" t="inlineStr">
        <is>
          <t>Conferir</t>
        </is>
      </c>
      <c r="N31" s="11" t="inlineStr">
        <is>
          <t>Lido como 01/02 de 284,90.</t>
        </is>
      </c>
      <c r="O31" s="0">
        <f>IF(OR(J31="",H31=""),"",EDATE(J31,H31-1))</f>
        <v/>
      </c>
      <c r="P31" s="0">
        <f>IF(OR(H31="",I31=""),"",H31-I31)</f>
        <v/>
      </c>
      <c r="Q31" s="0">
        <f>IF(D31="","",IF(I31&gt;H31,"⚠️ Parc. inválida",IF(I31&lt;1,"⚠️ Parc. inválida","✅ Calculado")))</f>
        <v/>
      </c>
    </row>
    <row r="32" ht="18" customHeight="1" s="109">
      <c r="A32" s="64">
        <f>IF(D32="","",ROW()-4)</f>
        <v/>
      </c>
      <c r="B32" s="12" t="inlineStr">
        <is>
          <t>Cartão fixo</t>
        </is>
      </c>
      <c r="C32" s="94" t="n">
        <v>46148</v>
      </c>
      <c r="D32" s="12" t="inlineStr">
        <is>
          <t>Casa Touro - 01/02</t>
        </is>
      </c>
      <c r="E32" s="46" t="inlineStr">
        <is>
          <t>Laranja</t>
        </is>
      </c>
      <c r="F32" s="90" t="n">
        <v>129.95</v>
      </c>
      <c r="G32" s="46" t="inlineStr">
        <is>
          <t>Parcela mensal</t>
        </is>
      </c>
      <c r="H32" s="91" t="n">
        <v>2</v>
      </c>
      <c r="I32" s="91" t="n">
        <v>1</v>
      </c>
      <c r="J32" s="92">
        <f>IF(OR(I32="",H32=""),"",EDATE(DATE(YEAR(IF(C32="",TODAY(),C32)),MONTH(IF(C32="",TODAY(),C32)),1),-(I32-1)))</f>
        <v/>
      </c>
      <c r="K32" s="39">
        <f>IF(OR(F32="",H32=""),"",IF(G32="Parcela mensal",F32,F32/H32))</f>
        <v/>
      </c>
      <c r="L32" s="40">
        <f>IF(OR(F32="",H32=""),"",IF(G32="Parcela mensal",F32*H32,F32))</f>
        <v/>
      </c>
      <c r="M32" s="95" t="inlineStr">
        <is>
          <t>Conferir</t>
        </is>
      </c>
      <c r="N32" s="14" t="inlineStr">
        <is>
          <t>Lido como 01/02 de 129,95.</t>
        </is>
      </c>
      <c r="O32" s="0">
        <f>IF(OR(J32="",H32=""),"",EDATE(J32,H32-1))</f>
        <v/>
      </c>
      <c r="P32" s="0">
        <f>IF(OR(H32="",I32=""),"",H32-I32)</f>
        <v/>
      </c>
      <c r="Q32" s="0">
        <f>IF(D32="","",IF(I32&gt;H32,"⚠️ Parc. inválida",IF(I32&lt;1,"⚠️ Parc. inválida","✅ Calculado")))</f>
        <v/>
      </c>
    </row>
    <row r="33" ht="18" customHeight="1" s="109">
      <c r="A33" s="60">
        <f>IF(D33="","",ROW()-4)</f>
        <v/>
      </c>
      <c r="B33" s="8" t="inlineStr">
        <is>
          <t>Shopee</t>
        </is>
      </c>
      <c r="C33" s="96" t="n">
        <v>46152</v>
      </c>
      <c r="D33" s="8" t="inlineStr">
        <is>
          <t>Compra Shopee</t>
        </is>
      </c>
      <c r="E33" s="33" t="inlineStr">
        <is>
          <t>7226</t>
        </is>
      </c>
      <c r="F33" s="90" t="n">
        <v>60</v>
      </c>
      <c r="G33" s="33" t="inlineStr">
        <is>
          <t>Total da compra</t>
        </is>
      </c>
      <c r="H33" s="91" t="n">
        <v>1</v>
      </c>
      <c r="I33" s="91" t="n">
        <v>1</v>
      </c>
      <c r="J33" s="92">
        <f>IF(OR(I33="",H33=""),"",EDATE(DATE(YEAR(IF(C33="",TODAY(),C33)),MONTH(IF(C33="",TODAY(),C33)),1),-(I33-1)))</f>
        <v/>
      </c>
      <c r="K33" s="39">
        <f>IF(OR(F33="",H33=""),"",IF(G33="Parcela mensal",F33,F33/H33))</f>
        <v/>
      </c>
      <c r="L33" s="40">
        <f>IF(OR(F33="",H33=""),"",IF(G33="Parcela mensal",F33*H33,F33))</f>
        <v/>
      </c>
      <c r="M33" s="93" t="inlineStr">
        <is>
          <t>OK</t>
        </is>
      </c>
      <c r="N33" s="11" t="n"/>
      <c r="O33" s="0">
        <f>IF(OR(J33="",H33=""),"",EDATE(J33,H33-1))</f>
        <v/>
      </c>
      <c r="P33" s="0">
        <f>IF(OR(H33="",I33=""),"",H33-I33)</f>
        <v/>
      </c>
      <c r="Q33" s="0">
        <f>IF(D33="","",IF(I33&gt;H33,"⚠️ Parc. inválida",IF(I33&lt;1,"⚠️ Parc. inválida","✅ Calculado")))</f>
        <v/>
      </c>
    </row>
    <row r="34" ht="18" customHeight="1" s="109">
      <c r="A34" s="64">
        <f>IF(D34="","",ROW()-4)</f>
        <v/>
      </c>
      <c r="B34" s="12" t="inlineStr">
        <is>
          <t>TikTok</t>
        </is>
      </c>
      <c r="C34" s="94" t="n">
        <v>46152</v>
      </c>
      <c r="D34" s="12" t="inlineStr">
        <is>
          <t>Compra TikTok</t>
        </is>
      </c>
      <c r="E34" s="46" t="inlineStr">
        <is>
          <t>5022</t>
        </is>
      </c>
      <c r="F34" s="90" t="n">
        <v>162.66</v>
      </c>
      <c r="G34" s="46" t="inlineStr">
        <is>
          <t>Total da compra</t>
        </is>
      </c>
      <c r="H34" s="91" t="n">
        <v>6</v>
      </c>
      <c r="I34" s="91" t="n">
        <v>1</v>
      </c>
      <c r="J34" s="92">
        <f>IF(OR(I34="",H34=""),"",EDATE(DATE(YEAR(IF(C34="",TODAY(),C34)),MONTH(IF(C34="",TODAY(),C34)),1),-(I34-1)))</f>
        <v/>
      </c>
      <c r="K34" s="39">
        <f>IF(OR(F34="",H34=""),"",IF(G34="Parcela mensal",F34,F34/H34))</f>
        <v/>
      </c>
      <c r="L34" s="40">
        <f>IF(OR(F34="",H34=""),"",IF(G34="Parcela mensal",F34*H34,F34))</f>
        <v/>
      </c>
      <c r="M34" s="95" t="inlineStr">
        <is>
          <t>Conferir</t>
        </is>
      </c>
      <c r="N34" s="14" t="inlineStr">
        <is>
          <t>Lido como grupo 6x no cartão 5022.</t>
        </is>
      </c>
      <c r="O34" s="0">
        <f>IF(OR(J34="",H34=""),"",EDATE(J34,H34-1))</f>
        <v/>
      </c>
      <c r="P34" s="0">
        <f>IF(OR(H34="",I34=""),"",H34-I34)</f>
        <v/>
      </c>
      <c r="Q34" s="0">
        <f>IF(D34="","",IF(I34&gt;H34,"⚠️ Parc. inválida",IF(I34&lt;1,"⚠️ Parc. inválida","✅ Calculado")))</f>
        <v/>
      </c>
    </row>
    <row r="35" ht="18" customHeight="1" s="109">
      <c r="A35" s="60">
        <f>IF(D35="","",ROW()-4)</f>
        <v/>
      </c>
      <c r="B35" s="8" t="inlineStr">
        <is>
          <t>TikTok</t>
        </is>
      </c>
      <c r="C35" s="96" t="n">
        <v>46152</v>
      </c>
      <c r="D35" s="8" t="inlineStr">
        <is>
          <t>Compra TikTok</t>
        </is>
      </c>
      <c r="E35" s="33" t="inlineStr">
        <is>
          <t>5022</t>
        </is>
      </c>
      <c r="F35" s="90" t="n">
        <v>177.59</v>
      </c>
      <c r="G35" s="33" t="inlineStr">
        <is>
          <t>Total da compra</t>
        </is>
      </c>
      <c r="H35" s="91" t="n">
        <v>6</v>
      </c>
      <c r="I35" s="91" t="n">
        <v>1</v>
      </c>
      <c r="J35" s="92">
        <f>IF(OR(I35="",H35=""),"",EDATE(DATE(YEAR(IF(C35="",TODAY(),C35)),MONTH(IF(C35="",TODAY(),C35)),1),-(I35-1)))</f>
        <v/>
      </c>
      <c r="K35" s="39">
        <f>IF(OR(F35="",H35=""),"",IF(G35="Parcela mensal",F35,F35/H35))</f>
        <v/>
      </c>
      <c r="L35" s="40">
        <f>IF(OR(F35="",H35=""),"",IF(G35="Parcela mensal",F35*H35,F35))</f>
        <v/>
      </c>
      <c r="M35" s="95" t="inlineStr">
        <is>
          <t>Conferir</t>
        </is>
      </c>
      <c r="N35" s="11" t="inlineStr">
        <is>
          <t>Lido como grupo 6x no cartão 5022.</t>
        </is>
      </c>
      <c r="O35" s="0">
        <f>IF(OR(J35="",H35=""),"",EDATE(J35,H35-1))</f>
        <v/>
      </c>
      <c r="P35" s="0">
        <f>IF(OR(H35="",I35=""),"",H35-I35)</f>
        <v/>
      </c>
      <c r="Q35" s="0">
        <f>IF(D35="","",IF(I35&gt;H35,"⚠️ Parc. inválida",IF(I35&lt;1,"⚠️ Parc. inválida","✅ Calculado")))</f>
        <v/>
      </c>
    </row>
    <row r="36" ht="18" customHeight="1" s="109">
      <c r="A36" s="64">
        <f>IF(D36="","",ROW()-4)</f>
        <v/>
      </c>
      <c r="B36" s="12" t="inlineStr">
        <is>
          <t>TikTok</t>
        </is>
      </c>
      <c r="C36" s="94" t="n">
        <v>46152</v>
      </c>
      <c r="D36" s="12" t="inlineStr">
        <is>
          <t>Compra TikTok</t>
        </is>
      </c>
      <c r="E36" s="46" t="inlineStr">
        <is>
          <t>5022</t>
        </is>
      </c>
      <c r="F36" s="90" t="n">
        <v>34</v>
      </c>
      <c r="G36" s="46" t="inlineStr">
        <is>
          <t>Total da compra</t>
        </is>
      </c>
      <c r="H36" s="91" t="n">
        <v>6</v>
      </c>
      <c r="I36" s="91" t="n">
        <v>1</v>
      </c>
      <c r="J36" s="92">
        <f>IF(OR(I36="",H36=""),"",EDATE(DATE(YEAR(IF(C36="",TODAY(),C36)),MONTH(IF(C36="",TODAY(),C36)),1),-(I36-1)))</f>
        <v/>
      </c>
      <c r="K36" s="39">
        <f>IF(OR(F36="",H36=""),"",IF(G36="Parcela mensal",F36,F36/H36))</f>
        <v/>
      </c>
      <c r="L36" s="40">
        <f>IF(OR(F36="",H36=""),"",IF(G36="Parcela mensal",F36*H36,F36))</f>
        <v/>
      </c>
      <c r="M36" s="95" t="inlineStr">
        <is>
          <t>Conferir</t>
        </is>
      </c>
      <c r="N36" s="14" t="inlineStr">
        <is>
          <t>Lido como grupo 6x no cartão 5022.</t>
        </is>
      </c>
      <c r="O36" s="0">
        <f>IF(OR(J36="",H36=""),"",EDATE(J36,H36-1))</f>
        <v/>
      </c>
      <c r="P36" s="0">
        <f>IF(OR(H36="",I36=""),"",H36-I36)</f>
        <v/>
      </c>
      <c r="Q36" s="0">
        <f>IF(D36="","",IF(I36&gt;H36,"⚠️ Parc. inválida",IF(I36&lt;1,"⚠️ Parc. inválida","✅ Calculado")))</f>
        <v/>
      </c>
    </row>
    <row r="37" ht="18" customHeight="1" s="109">
      <c r="A37" s="60">
        <f>IF(D37="","",ROW()-4)</f>
        <v/>
      </c>
      <c r="B37" s="8" t="inlineStr">
        <is>
          <t>TikTok</t>
        </is>
      </c>
      <c r="C37" s="96" t="n">
        <v>46152</v>
      </c>
      <c r="D37" s="8" t="inlineStr">
        <is>
          <t>Compra TikTok</t>
        </is>
      </c>
      <c r="E37" s="33" t="inlineStr">
        <is>
          <t>5022</t>
        </is>
      </c>
      <c r="F37" s="90" t="n">
        <v>278.39</v>
      </c>
      <c r="G37" s="33" t="inlineStr">
        <is>
          <t>Total da compra</t>
        </is>
      </c>
      <c r="H37" s="91" t="n">
        <v>6</v>
      </c>
      <c r="I37" s="91" t="n">
        <v>1</v>
      </c>
      <c r="J37" s="92">
        <f>IF(OR(I37="",H37=""),"",EDATE(DATE(YEAR(IF(C37="",TODAY(),C37)),MONTH(IF(C37="",TODAY(),C37)),1),-(I37-1)))</f>
        <v/>
      </c>
      <c r="K37" s="39">
        <f>IF(OR(F37="",H37=""),"",IF(G37="Parcela mensal",F37,F37/H37))</f>
        <v/>
      </c>
      <c r="L37" s="40">
        <f>IF(OR(F37="",H37=""),"",IF(G37="Parcela mensal",F37*H37,F37))</f>
        <v/>
      </c>
      <c r="M37" s="95" t="inlineStr">
        <is>
          <t>Conferir</t>
        </is>
      </c>
      <c r="N37" s="11" t="inlineStr">
        <is>
          <t>Lido como grupo 6x no cartão 5022.</t>
        </is>
      </c>
      <c r="O37" s="0">
        <f>IF(OR(J37="",H37=""),"",EDATE(J37,H37-1))</f>
        <v/>
      </c>
      <c r="P37" s="0">
        <f>IF(OR(H37="",I37=""),"",H37-I37)</f>
        <v/>
      </c>
      <c r="Q37" s="0">
        <f>IF(D37="","",IF(I37&gt;H37,"⚠️ Parc. inválida",IF(I37&lt;1,"⚠️ Parc. inválida","✅ Calculado")))</f>
        <v/>
      </c>
    </row>
    <row r="38" ht="18" customHeight="1" s="109">
      <c r="A38" s="64">
        <f>IF(D38="","",ROW()-4)</f>
        <v/>
      </c>
      <c r="B38" s="12" t="inlineStr">
        <is>
          <t>TikTok</t>
        </is>
      </c>
      <c r="C38" s="94" t="n">
        <v>46152</v>
      </c>
      <c r="D38" s="12" t="inlineStr">
        <is>
          <t>Compra TikTok</t>
        </is>
      </c>
      <c r="E38" s="46" t="inlineStr">
        <is>
          <t>5022</t>
        </is>
      </c>
      <c r="F38" s="90" t="n">
        <v>25.75</v>
      </c>
      <c r="G38" s="46" t="inlineStr">
        <is>
          <t>Total da compra</t>
        </is>
      </c>
      <c r="H38" s="91" t="n">
        <v>6</v>
      </c>
      <c r="I38" s="91" t="n">
        <v>1</v>
      </c>
      <c r="J38" s="92">
        <f>IF(OR(I38="",H38=""),"",EDATE(DATE(YEAR(IF(C38="",TODAY(),C38)),MONTH(IF(C38="",TODAY(),C38)),1),-(I38-1)))</f>
        <v/>
      </c>
      <c r="K38" s="39">
        <f>IF(OR(F38="",H38=""),"",IF(G38="Parcela mensal",F38,F38/H38))</f>
        <v/>
      </c>
      <c r="L38" s="40">
        <f>IF(OR(F38="",H38=""),"",IF(G38="Parcela mensal",F38*H38,F38))</f>
        <v/>
      </c>
      <c r="M38" s="95" t="inlineStr">
        <is>
          <t>Conferir</t>
        </is>
      </c>
      <c r="N38" s="14" t="inlineStr">
        <is>
          <t>Lido como grupo 6x no cartão 5022.</t>
        </is>
      </c>
      <c r="O38" s="0">
        <f>IF(OR(J38="",H38=""),"",EDATE(J38,H38-1))</f>
        <v/>
      </c>
      <c r="P38" s="0">
        <f>IF(OR(H38="",I38=""),"",H38-I38)</f>
        <v/>
      </c>
      <c r="Q38" s="0">
        <f>IF(D38="","",IF(I38&gt;H38,"⚠️ Parc. inválida",IF(I38&lt;1,"⚠️ Parc. inválida","✅ Calculado")))</f>
        <v/>
      </c>
    </row>
    <row r="39" ht="18" customHeight="1" s="109">
      <c r="A39" s="60">
        <f>IF(D39="","",ROW()-4)</f>
        <v/>
      </c>
      <c r="B39" s="8" t="inlineStr">
        <is>
          <t>TikTok</t>
        </is>
      </c>
      <c r="C39" s="96" t="n">
        <v>46154</v>
      </c>
      <c r="D39" s="8" t="inlineStr">
        <is>
          <t>Compra TikTok</t>
        </is>
      </c>
      <c r="E39" s="33" t="inlineStr">
        <is>
          <t>5022</t>
        </is>
      </c>
      <c r="F39" s="90" t="n">
        <v>175.3</v>
      </c>
      <c r="G39" s="33" t="inlineStr">
        <is>
          <t>Total da compra</t>
        </is>
      </c>
      <c r="H39" s="91" t="n">
        <v>4</v>
      </c>
      <c r="I39" s="91" t="n">
        <v>1</v>
      </c>
      <c r="J39" s="92">
        <f>IF(OR(I39="",H39=""),"",EDATE(DATE(YEAR(IF(C39="",TODAY(),C39)),MONTH(IF(C39="",TODAY(),C39)),1),-(I39-1)))</f>
        <v/>
      </c>
      <c r="K39" s="39">
        <f>IF(OR(F39="",H39=""),"",IF(G39="Parcela mensal",F39,F39/H39))</f>
        <v/>
      </c>
      <c r="L39" s="40">
        <f>IF(OR(F39="",H39=""),"",IF(G39="Parcela mensal",F39*H39,F39))</f>
        <v/>
      </c>
      <c r="M39" s="95" t="inlineStr">
        <is>
          <t>Conferir</t>
        </is>
      </c>
      <c r="N39" s="11" t="inlineStr">
        <is>
          <t>Lido como 4x no cartão 5022.</t>
        </is>
      </c>
      <c r="O39" s="0">
        <f>IF(OR(J39="",H39=""),"",EDATE(J39,H39-1))</f>
        <v/>
      </c>
      <c r="P39" s="0">
        <f>IF(OR(H39="",I39=""),"",H39-I39)</f>
        <v/>
      </c>
      <c r="Q39" s="0">
        <f>IF(D39="","",IF(I39&gt;H39,"⚠️ Parc. inválida",IF(I39&lt;1,"⚠️ Parc. inválida","✅ Calculado")))</f>
        <v/>
      </c>
    </row>
    <row r="40" ht="18" customHeight="1" s="109">
      <c r="A40" s="64">
        <f>IF(D40="","",ROW()-4)</f>
        <v/>
      </c>
      <c r="B40" s="12" t="inlineStr">
        <is>
          <t>TikTok</t>
        </is>
      </c>
      <c r="C40" s="94" t="n">
        <v>46155</v>
      </c>
      <c r="D40" s="12" t="inlineStr">
        <is>
          <t>Compra TikTok</t>
        </is>
      </c>
      <c r="E40" s="46" t="inlineStr">
        <is>
          <t>4416</t>
        </is>
      </c>
      <c r="F40" s="90" t="n">
        <v>223.34</v>
      </c>
      <c r="G40" s="46" t="inlineStr">
        <is>
          <t>Total da compra</t>
        </is>
      </c>
      <c r="H40" s="91" t="n">
        <v>1</v>
      </c>
      <c r="I40" s="91" t="n">
        <v>1</v>
      </c>
      <c r="J40" s="92">
        <f>IF(OR(I40="",H40=""),"",EDATE(DATE(YEAR(IF(C40="",TODAY(),C40)),MONTH(IF(C40="",TODAY(),C40)),1),-(I40-1)))</f>
        <v/>
      </c>
      <c r="K40" s="39">
        <f>IF(OR(F40="",H40=""),"",IF(G40="Parcela mensal",F40,F40/H40))</f>
        <v/>
      </c>
      <c r="L40" s="40">
        <f>IF(OR(F40="",H40=""),"",IF(G40="Parcela mensal",F40*H40,F40))</f>
        <v/>
      </c>
      <c r="M40" s="95" t="inlineStr">
        <is>
          <t>Conferir</t>
        </is>
      </c>
      <c r="N40" s="14" t="inlineStr">
        <is>
          <t>Sem parcela legível; considerei 1x.</t>
        </is>
      </c>
      <c r="O40" s="0">
        <f>IF(OR(J40="",H40=""),"",EDATE(J40,H40-1))</f>
        <v/>
      </c>
      <c r="P40" s="0">
        <f>IF(OR(H40="",I40=""),"",H40-I40)</f>
        <v/>
      </c>
      <c r="Q40" s="0">
        <f>IF(D40="","",IF(I40&gt;H40,"⚠️ Parc. inválida",IF(I40&lt;1,"⚠️ Parc. inválida","✅ Calculado")))</f>
        <v/>
      </c>
    </row>
    <row r="41" ht="18" customHeight="1" s="109">
      <c r="A41" s="60">
        <f>IF(D41="","",ROW()-4)</f>
        <v/>
      </c>
      <c r="B41" s="8" t="inlineStr">
        <is>
          <t>TikTok</t>
        </is>
      </c>
      <c r="C41" s="96" t="n">
        <v>46159</v>
      </c>
      <c r="D41" s="8" t="inlineStr">
        <is>
          <t>Compra TikTok</t>
        </is>
      </c>
      <c r="E41" s="33" t="inlineStr">
        <is>
          <t>5022</t>
        </is>
      </c>
      <c r="F41" s="90" t="n">
        <v>89.92</v>
      </c>
      <c r="G41" s="33" t="inlineStr">
        <is>
          <t>Total da compra</t>
        </is>
      </c>
      <c r="H41" s="91" t="n">
        <v>1</v>
      </c>
      <c r="I41" s="91" t="n">
        <v>1</v>
      </c>
      <c r="J41" s="92">
        <f>IF(OR(I41="",H41=""),"",EDATE(DATE(YEAR(IF(C41="",TODAY(),C41)),MONTH(IF(C41="",TODAY(),C41)),1),-(I41-1)))</f>
        <v/>
      </c>
      <c r="K41" s="39">
        <f>IF(OR(F41="",H41=""),"",IF(G41="Parcela mensal",F41,F41/H41))</f>
        <v/>
      </c>
      <c r="L41" s="40">
        <f>IF(OR(F41="",H41=""),"",IF(G41="Parcela mensal",F41*H41,F41))</f>
        <v/>
      </c>
      <c r="M41" s="95" t="inlineStr">
        <is>
          <t>Conferir</t>
        </is>
      </c>
      <c r="N41" s="11" t="inlineStr">
        <is>
          <t>Sem parcela legível; considerei 1x.</t>
        </is>
      </c>
      <c r="O41" s="0">
        <f>IF(OR(J41="",H41=""),"",EDATE(J41,H41-1))</f>
        <v/>
      </c>
      <c r="P41" s="0">
        <f>IF(OR(H41="",I41=""),"",H41-I41)</f>
        <v/>
      </c>
      <c r="Q41" s="0">
        <f>IF(D41="","",IF(I41&gt;H41,"⚠️ Parc. inválida",IF(I41&lt;1,"⚠️ Parc. inválida","✅ Calculado")))</f>
        <v/>
      </c>
    </row>
    <row r="42" ht="18" customHeight="1" s="109">
      <c r="A42" s="64">
        <f>IF(D42="","",ROW()-4)</f>
        <v/>
      </c>
      <c r="B42" s="12" t="inlineStr">
        <is>
          <t>Shopee</t>
        </is>
      </c>
      <c r="C42" s="94" t="n">
        <v>46161</v>
      </c>
      <c r="D42" s="12" t="inlineStr">
        <is>
          <t>Compra Shopee</t>
        </is>
      </c>
      <c r="E42" s="46" t="inlineStr">
        <is>
          <t>9132</t>
        </is>
      </c>
      <c r="F42" s="90" t="n">
        <v>80</v>
      </c>
      <c r="G42" s="46" t="inlineStr">
        <is>
          <t>Total da compra</t>
        </is>
      </c>
      <c r="H42" s="91" t="n">
        <v>1</v>
      </c>
      <c r="I42" s="91" t="n">
        <v>1</v>
      </c>
      <c r="J42" s="92">
        <f>IF(OR(I42="",H42=""),"",EDATE(DATE(YEAR(IF(C42="",TODAY(),C42)),MONTH(IF(C42="",TODAY(),C42)),1),-(I42-1)))</f>
        <v/>
      </c>
      <c r="K42" s="39">
        <f>IF(OR(F42="",H42=""),"",IF(G42="Parcela mensal",F42,F42/H42))</f>
        <v/>
      </c>
      <c r="L42" s="40">
        <f>IF(OR(F42="",H42=""),"",IF(G42="Parcela mensal",F42*H42,F42))</f>
        <v/>
      </c>
      <c r="M42" s="93" t="inlineStr">
        <is>
          <t>OK</t>
        </is>
      </c>
      <c r="N42" s="14" t="n"/>
      <c r="O42" s="0">
        <f>IF(OR(J42="",H42=""),"",EDATE(J42,H42-1))</f>
        <v/>
      </c>
      <c r="P42" s="0">
        <f>IF(OR(H42="",I42=""),"",H42-I42)</f>
        <v/>
      </c>
      <c r="Q42" s="0">
        <f>IF(D42="","",IF(I42&gt;H42,"⚠️ Parc. inválida",IF(I42&lt;1,"⚠️ Parc. inválida","✅ Calculado")))</f>
        <v/>
      </c>
    </row>
    <row r="43" ht="18" customHeight="1" s="109">
      <c r="A43" s="60">
        <f>IF(D43="","",ROW()-4)</f>
        <v/>
      </c>
      <c r="B43" s="8" t="inlineStr">
        <is>
          <t>Shopee</t>
        </is>
      </c>
      <c r="C43" s="96" t="n">
        <v>46161</v>
      </c>
      <c r="D43" s="8" t="inlineStr">
        <is>
          <t>Compra Shopee</t>
        </is>
      </c>
      <c r="E43" s="33" t="inlineStr">
        <is>
          <t>9132</t>
        </is>
      </c>
      <c r="F43" s="90" t="n">
        <v>166.97</v>
      </c>
      <c r="G43" s="33" t="inlineStr">
        <is>
          <t>Total da compra</t>
        </is>
      </c>
      <c r="H43" s="91" t="n">
        <v>6</v>
      </c>
      <c r="I43" s="91" t="n">
        <v>1</v>
      </c>
      <c r="J43" s="92">
        <f>IF(OR(I43="",H43=""),"",EDATE(DATE(YEAR(IF(C43="",TODAY(),C43)),MONTH(IF(C43="",TODAY(),C43)),1),-(I43-1)))</f>
        <v/>
      </c>
      <c r="K43" s="39">
        <f>IF(OR(F43="",H43=""),"",IF(G43="Parcela mensal",F43,F43/H43))</f>
        <v/>
      </c>
      <c r="L43" s="40">
        <f>IF(OR(F43="",H43=""),"",IF(G43="Parcela mensal",F43*H43,F43))</f>
        <v/>
      </c>
      <c r="M43" s="93" t="inlineStr">
        <is>
          <t>OK</t>
        </is>
      </c>
      <c r="N43" s="11" t="n"/>
      <c r="O43" s="0">
        <f>IF(OR(J43="",H43=""),"",EDATE(J43,H43-1))</f>
        <v/>
      </c>
      <c r="P43" s="0">
        <f>IF(OR(H43="",I43=""),"",H43-I43)</f>
        <v/>
      </c>
      <c r="Q43" s="0">
        <f>IF(D43="","",IF(I43&gt;H43,"⚠️ Parc. inválida",IF(I43&lt;1,"⚠️ Parc. inválida","✅ Calculado")))</f>
        <v/>
      </c>
    </row>
    <row r="44" ht="18" customHeight="1" s="109">
      <c r="A44" s="64">
        <f>IF(D44="","",ROW()-4)</f>
        <v/>
      </c>
      <c r="B44" s="12" t="inlineStr">
        <is>
          <t>Shopee</t>
        </is>
      </c>
      <c r="C44" s="94" t="n">
        <v>46161</v>
      </c>
      <c r="D44" s="12" t="inlineStr">
        <is>
          <t>Compra Shopee</t>
        </is>
      </c>
      <c r="E44" s="46" t="inlineStr">
        <is>
          <t>9132</t>
        </is>
      </c>
      <c r="F44" s="90" t="n">
        <v>139.8</v>
      </c>
      <c r="G44" s="46" t="inlineStr">
        <is>
          <t>Total da compra</t>
        </is>
      </c>
      <c r="H44" s="91" t="n">
        <v>6</v>
      </c>
      <c r="I44" s="91" t="n">
        <v>1</v>
      </c>
      <c r="J44" s="92">
        <f>IF(OR(I44="",H44=""),"",EDATE(DATE(YEAR(IF(C44="",TODAY(),C44)),MONTH(IF(C44="",TODAY(),C44)),1),-(I44-1)))</f>
        <v/>
      </c>
      <c r="K44" s="39">
        <f>IF(OR(F44="",H44=""),"",IF(G44="Parcela mensal",F44,F44/H44))</f>
        <v/>
      </c>
      <c r="L44" s="40">
        <f>IF(OR(F44="",H44=""),"",IF(G44="Parcela mensal",F44*H44,F44))</f>
        <v/>
      </c>
      <c r="M44" s="95" t="inlineStr">
        <is>
          <t>Conferir</t>
        </is>
      </c>
      <c r="N44" s="14" t="inlineStr">
        <is>
          <t>Parcela lida como 6x; conferir se não é 8x.</t>
        </is>
      </c>
      <c r="O44" s="0">
        <f>IF(OR(J44="",H44=""),"",EDATE(J44,H44-1))</f>
        <v/>
      </c>
      <c r="P44" s="0">
        <f>IF(OR(H44="",I44=""),"",H44-I44)</f>
        <v/>
      </c>
      <c r="Q44" s="0">
        <f>IF(D44="","",IF(I44&gt;H44,"⚠️ Parc. inválida",IF(I44&lt;1,"⚠️ Parc. inválida","✅ Calculado")))</f>
        <v/>
      </c>
    </row>
    <row r="45" ht="18" customHeight="1" s="109">
      <c r="A45" s="60">
        <f>IF(D45="","",ROW()-4)</f>
        <v/>
      </c>
      <c r="B45" s="8" t="inlineStr">
        <is>
          <t>Shopee</t>
        </is>
      </c>
      <c r="C45" s="96" t="n">
        <v>46162</v>
      </c>
      <c r="D45" s="8" t="inlineStr">
        <is>
          <t>Compra Shopee</t>
        </is>
      </c>
      <c r="E45" s="33" t="inlineStr">
        <is>
          <t>4416</t>
        </is>
      </c>
      <c r="F45" s="90" t="n">
        <v>429.6</v>
      </c>
      <c r="G45" s="33" t="inlineStr">
        <is>
          <t>Total da compra</t>
        </is>
      </c>
      <c r="H45" s="91" t="n">
        <v>8</v>
      </c>
      <c r="I45" s="91" t="n">
        <v>1</v>
      </c>
      <c r="J45" s="92">
        <f>IF(OR(I45="",H45=""),"",EDATE(DATE(YEAR(IF(C45="",TODAY(),C45)),MONTH(IF(C45="",TODAY(),C45)),1),-(I45-1)))</f>
        <v/>
      </c>
      <c r="K45" s="39">
        <f>IF(OR(F45="",H45=""),"",IF(G45="Parcela mensal",F45,F45/H45))</f>
        <v/>
      </c>
      <c r="L45" s="40">
        <f>IF(OR(F45="",H45=""),"",IF(G45="Parcela mensal",F45*H45,F45))</f>
        <v/>
      </c>
      <c r="M45" s="93" t="inlineStr">
        <is>
          <t>OK</t>
        </is>
      </c>
      <c r="N45" s="11" t="n"/>
      <c r="O45" s="0">
        <f>IF(OR(J45="",H45=""),"",EDATE(J45,H45-1))</f>
        <v/>
      </c>
      <c r="P45" s="0">
        <f>IF(OR(H45="",I45=""),"",H45-I45)</f>
        <v/>
      </c>
      <c r="Q45" s="0">
        <f>IF(D45="","",IF(I45&gt;H45,"⚠️ Parc. inválida",IF(I45&lt;1,"⚠️ Parc. inválida","✅ Calculado")))</f>
        <v/>
      </c>
    </row>
    <row r="46" ht="18" customHeight="1" s="109">
      <c r="A46" s="64">
        <f>IF(D46="","",ROW()-4)</f>
        <v/>
      </c>
      <c r="B46" s="12" t="inlineStr">
        <is>
          <t>Cartão fixo</t>
        </is>
      </c>
      <c r="C46" s="94" t="n">
        <v>46164</v>
      </c>
      <c r="D46" s="12" t="inlineStr">
        <is>
          <t>Benhur - 01/12</t>
        </is>
      </c>
      <c r="E46" s="46" t="inlineStr">
        <is>
          <t>Verde</t>
        </is>
      </c>
      <c r="F46" s="90" t="n">
        <v>441.62</v>
      </c>
      <c r="G46" s="46" t="inlineStr">
        <is>
          <t>Parcela mensal</t>
        </is>
      </c>
      <c r="H46" s="91" t="n">
        <v>12</v>
      </c>
      <c r="I46" s="91" t="n">
        <v>1</v>
      </c>
      <c r="J46" s="92">
        <f>IF(OR(I46="",H46=""),"",EDATE(DATE(YEAR(IF(C46="",TODAY(),C46)),MONTH(IF(C46="",TODAY(),C46)),1),-(I46-1)))</f>
        <v/>
      </c>
      <c r="K46" s="39">
        <f>IF(OR(F46="",H46=""),"",IF(G46="Parcela mensal",F46,F46/H46))</f>
        <v/>
      </c>
      <c r="L46" s="40">
        <f>IF(OR(F46="",H46=""),"",IF(G46="Parcela mensal",F46*H46,F46))</f>
        <v/>
      </c>
      <c r="M46" s="95" t="inlineStr">
        <is>
          <t>Conferir</t>
        </is>
      </c>
      <c r="N46" s="14" t="inlineStr">
        <is>
          <t>Lido como 01/12 de 441,62.</t>
        </is>
      </c>
      <c r="O46" s="0">
        <f>IF(OR(J46="",H46=""),"",EDATE(J46,H46-1))</f>
        <v/>
      </c>
      <c r="P46" s="0">
        <f>IF(OR(H46="",I46=""),"",H46-I46)</f>
        <v/>
      </c>
      <c r="Q46" s="0">
        <f>IF(D46="","",IF(I46&gt;H46,"⚠️ Parc. inválida",IF(I46&lt;1,"⚠️ Parc. inválida","✅ Calculado")))</f>
        <v/>
      </c>
    </row>
    <row r="47" ht="18" customHeight="1" s="109">
      <c r="A47" s="60">
        <f>IF(D47="","",ROW()-4)</f>
        <v/>
      </c>
      <c r="B47" s="8" t="n"/>
      <c r="C47" s="97" t="n"/>
      <c r="D47" s="8" t="n"/>
      <c r="E47" s="8" t="n"/>
      <c r="F47" s="90" t="n"/>
      <c r="G47" s="8" t="n"/>
      <c r="H47" s="91" t="n"/>
      <c r="I47" s="91" t="n"/>
      <c r="J47" s="92">
        <f>IF(OR(I47="",H47=""),"",EDATE(DATE(YEAR(IF(C47="",TODAY(),C47)),MONTH(IF(C47="",TODAY(),C47)),1),-(I47-1)))</f>
        <v/>
      </c>
      <c r="K47" s="39">
        <f>IF(OR(F47="",H47=""),"",IF(G47="Parcela mensal",F47,F47/H47))</f>
        <v/>
      </c>
      <c r="L47" s="40">
        <f>IF(OR(F47="",H47=""),"",IF(G47="Parcela mensal",F47*H47,F47))</f>
        <v/>
      </c>
      <c r="M47" s="8" t="n"/>
      <c r="N47" s="8" t="n"/>
      <c r="O47" s="0">
        <f>IF(OR(J47="",H47=""),"",EDATE(J47,H47-1))</f>
        <v/>
      </c>
      <c r="P47" s="0">
        <f>IF(OR(H47="",I47=""),"",H47-I47)</f>
        <v/>
      </c>
      <c r="Q47" s="0">
        <f>IF(D47="","",IF(I47&gt;H47,"⚠️ Parc. inválida",IF(I47&lt;1,"⚠️ Parc. inválida","✅ Calculado")))</f>
        <v/>
      </c>
    </row>
    <row r="48" ht="18" customHeight="1" s="109">
      <c r="A48" s="64">
        <f>IF(D48="","",ROW()-4)</f>
        <v/>
      </c>
      <c r="B48" s="12" t="n"/>
      <c r="C48" s="98" t="n"/>
      <c r="D48" s="12" t="n"/>
      <c r="E48" s="12" t="n"/>
      <c r="F48" s="90" t="n"/>
      <c r="G48" s="12" t="n"/>
      <c r="H48" s="91" t="n"/>
      <c r="I48" s="91" t="n"/>
      <c r="J48" s="92">
        <f>IF(OR(I48="",H48=""),"",EDATE(DATE(YEAR(IF(C48="",TODAY(),C48)),MONTH(IF(C48="",TODAY(),C48)),1),-(I48-1)))</f>
        <v/>
      </c>
      <c r="K48" s="39">
        <f>IF(OR(F48="",H48=""),"",IF(G48="Parcela mensal",F48,F48/H48))</f>
        <v/>
      </c>
      <c r="L48" s="40">
        <f>IF(OR(F48="",H48=""),"",IF(G48="Parcela mensal",F48*H48,F48))</f>
        <v/>
      </c>
      <c r="M48" s="12" t="n"/>
      <c r="N48" s="12" t="n"/>
      <c r="O48" s="0">
        <f>IF(OR(J48="",H48=""),"",EDATE(J48,H48-1))</f>
        <v/>
      </c>
      <c r="P48" s="0">
        <f>IF(OR(H48="",I48=""),"",H48-I48)</f>
        <v/>
      </c>
      <c r="Q48" s="0">
        <f>IF(D48="","",IF(I48&gt;H48,"⚠️ Parc. inválida",IF(I48&lt;1,"⚠️ Parc. inválida","✅ Calculado")))</f>
        <v/>
      </c>
    </row>
    <row r="49" ht="18" customHeight="1" s="109">
      <c r="A49" s="60">
        <f>IF(D49="","",ROW()-4)</f>
        <v/>
      </c>
      <c r="B49" s="8" t="n"/>
      <c r="C49" s="97" t="n"/>
      <c r="D49" s="8" t="n"/>
      <c r="E49" s="8" t="n"/>
      <c r="F49" s="90" t="n"/>
      <c r="G49" s="8" t="n"/>
      <c r="H49" s="91" t="n"/>
      <c r="I49" s="91" t="n"/>
      <c r="J49" s="92">
        <f>IF(OR(I49="",H49=""),"",EDATE(DATE(YEAR(IF(C49="",TODAY(),C49)),MONTH(IF(C49="",TODAY(),C49)),1),-(I49-1)))</f>
        <v/>
      </c>
      <c r="K49" s="39">
        <f>IF(OR(F49="",H49=""),"",IF(G49="Parcela mensal",F49,F49/H49))</f>
        <v/>
      </c>
      <c r="L49" s="40">
        <f>IF(OR(F49="",H49=""),"",IF(G49="Parcela mensal",F49*H49,F49))</f>
        <v/>
      </c>
      <c r="M49" s="8" t="n"/>
      <c r="N49" s="8" t="n"/>
      <c r="O49" s="0">
        <f>IF(OR(J49="",H49=""),"",EDATE(J49,H49-1))</f>
        <v/>
      </c>
      <c r="P49" s="0">
        <f>IF(OR(H49="",I49=""),"",H49-I49)</f>
        <v/>
      </c>
      <c r="Q49" s="0">
        <f>IF(D49="","",IF(I49&gt;H49,"⚠️ Parc. inválida",IF(I49&lt;1,"⚠️ Parc. inválida","✅ Calculado")))</f>
        <v/>
      </c>
    </row>
    <row r="50" ht="18" customHeight="1" s="109">
      <c r="A50" s="64">
        <f>IF(D50="","",ROW()-4)</f>
        <v/>
      </c>
      <c r="B50" s="12" t="n"/>
      <c r="C50" s="98" t="n"/>
      <c r="D50" s="12" t="n"/>
      <c r="E50" s="12" t="n"/>
      <c r="F50" s="90" t="n"/>
      <c r="G50" s="12" t="n"/>
      <c r="H50" s="91" t="n"/>
      <c r="I50" s="91" t="n"/>
      <c r="J50" s="92">
        <f>IF(OR(I50="",H50=""),"",EDATE(DATE(YEAR(IF(C50="",TODAY(),C50)),MONTH(IF(C50="",TODAY(),C50)),1),-(I50-1)))</f>
        <v/>
      </c>
      <c r="K50" s="39">
        <f>IF(OR(F50="",H50=""),"",IF(G50="Parcela mensal",F50,F50/H50))</f>
        <v/>
      </c>
      <c r="L50" s="40">
        <f>IF(OR(F50="",H50=""),"",IF(G50="Parcela mensal",F50*H50,F50))</f>
        <v/>
      </c>
      <c r="M50" s="12" t="n"/>
      <c r="N50" s="12" t="n"/>
      <c r="O50" s="0">
        <f>IF(OR(J50="",H50=""),"",EDATE(J50,H50-1))</f>
        <v/>
      </c>
      <c r="P50" s="0">
        <f>IF(OR(H50="",I50=""),"",H50-I50)</f>
        <v/>
      </c>
      <c r="Q50" s="0">
        <f>IF(D50="","",IF(I50&gt;H50,"⚠️ Parc. inválida",IF(I50&lt;1,"⚠️ Parc. inválida","✅ Calculado")))</f>
        <v/>
      </c>
    </row>
    <row r="51" ht="18" customHeight="1" s="109">
      <c r="A51" s="60">
        <f>IF(D51="","",ROW()-4)</f>
        <v/>
      </c>
      <c r="B51" s="8" t="n"/>
      <c r="C51" s="97" t="n"/>
      <c r="D51" s="8" t="n"/>
      <c r="E51" s="8" t="n"/>
      <c r="F51" s="90" t="n"/>
      <c r="G51" s="8" t="n"/>
      <c r="H51" s="91" t="n"/>
      <c r="I51" s="91" t="n"/>
      <c r="J51" s="92">
        <f>IF(OR(I51="",H51=""),"",EDATE(DATE(YEAR(IF(C51="",TODAY(),C51)),MONTH(IF(C51="",TODAY(),C51)),1),-(I51-1)))</f>
        <v/>
      </c>
      <c r="K51" s="39">
        <f>IF(OR(F51="",H51=""),"",IF(G51="Parcela mensal",F51,F51/H51))</f>
        <v/>
      </c>
      <c r="L51" s="40">
        <f>IF(OR(F51="",H51=""),"",IF(G51="Parcela mensal",F51*H51,F51))</f>
        <v/>
      </c>
      <c r="M51" s="8" t="n"/>
      <c r="N51" s="8" t="n"/>
      <c r="O51" s="0">
        <f>IF(OR(J51="",H51=""),"",EDATE(J51,H51-1))</f>
        <v/>
      </c>
      <c r="P51" s="0">
        <f>IF(OR(H51="",I51=""),"",H51-I51)</f>
        <v/>
      </c>
      <c r="Q51" s="0">
        <f>IF(D51="","",IF(I51&gt;H51,"⚠️ Parc. inválida",IF(I51&lt;1,"⚠️ Parc. inválida","✅ Calculado")))</f>
        <v/>
      </c>
    </row>
    <row r="52" ht="18" customHeight="1" s="109">
      <c r="A52" s="64">
        <f>IF(D52="","",ROW()-4)</f>
        <v/>
      </c>
      <c r="B52" s="12" t="n"/>
      <c r="C52" s="98" t="n"/>
      <c r="D52" s="12" t="n"/>
      <c r="E52" s="12" t="n"/>
      <c r="F52" s="90" t="n"/>
      <c r="G52" s="12" t="n"/>
      <c r="H52" s="91" t="n"/>
      <c r="I52" s="91" t="n"/>
      <c r="J52" s="92">
        <f>IF(OR(I52="",H52=""),"",EDATE(DATE(YEAR(IF(C52="",TODAY(),C52)),MONTH(IF(C52="",TODAY(),C52)),1),-(I52-1)))</f>
        <v/>
      </c>
      <c r="K52" s="39">
        <f>IF(OR(F52="",H52=""),"",IF(G52="Parcela mensal",F52,F52/H52))</f>
        <v/>
      </c>
      <c r="L52" s="40">
        <f>IF(OR(F52="",H52=""),"",IF(G52="Parcela mensal",F52*H52,F52))</f>
        <v/>
      </c>
      <c r="M52" s="12" t="n"/>
      <c r="N52" s="12" t="n"/>
      <c r="O52" s="0">
        <f>IF(OR(J52="",H52=""),"",EDATE(J52,H52-1))</f>
        <v/>
      </c>
      <c r="P52" s="0">
        <f>IF(OR(H52="",I52=""),"",H52-I52)</f>
        <v/>
      </c>
      <c r="Q52" s="0">
        <f>IF(D52="","",IF(I52&gt;H52,"⚠️ Parc. inválida",IF(I52&lt;1,"⚠️ Parc. inválida","✅ Calculado")))</f>
        <v/>
      </c>
    </row>
    <row r="53" ht="18" customHeight="1" s="109">
      <c r="A53" s="60">
        <f>IF(D53="","",ROW()-4)</f>
        <v/>
      </c>
      <c r="B53" s="8" t="n"/>
      <c r="C53" s="97" t="n"/>
      <c r="D53" s="8" t="n"/>
      <c r="E53" s="8" t="n"/>
      <c r="F53" s="90" t="n"/>
      <c r="G53" s="8" t="n"/>
      <c r="H53" s="91" t="n"/>
      <c r="I53" s="91" t="n"/>
      <c r="J53" s="92">
        <f>IF(OR(I53="",H53=""),"",EDATE(DATE(YEAR(IF(C53="",TODAY(),C53)),MONTH(IF(C53="",TODAY(),C53)),1),-(I53-1)))</f>
        <v/>
      </c>
      <c r="K53" s="39">
        <f>IF(OR(F53="",H53=""),"",IF(G53="Parcela mensal",F53,F53/H53))</f>
        <v/>
      </c>
      <c r="L53" s="40">
        <f>IF(OR(F53="",H53=""),"",IF(G53="Parcela mensal",F53*H53,F53))</f>
        <v/>
      </c>
      <c r="M53" s="8" t="n"/>
      <c r="N53" s="8" t="n"/>
      <c r="O53" s="0">
        <f>IF(OR(J53="",H53=""),"",EDATE(J53,H53-1))</f>
        <v/>
      </c>
      <c r="P53" s="0">
        <f>IF(OR(H53="",I53=""),"",H53-I53)</f>
        <v/>
      </c>
      <c r="Q53" s="0">
        <f>IF(D53="","",IF(I53&gt;H53,"⚠️ Parc. inválida",IF(I53&lt;1,"⚠️ Parc. inválida","✅ Calculado")))</f>
        <v/>
      </c>
    </row>
    <row r="54" ht="18" customHeight="1" s="109">
      <c r="A54" s="64">
        <f>IF(D54="","",ROW()-4)</f>
        <v/>
      </c>
      <c r="B54" s="12" t="n"/>
      <c r="C54" s="98" t="n"/>
      <c r="D54" s="12" t="n"/>
      <c r="E54" s="12" t="n"/>
      <c r="F54" s="90" t="n"/>
      <c r="G54" s="12" t="n"/>
      <c r="H54" s="91" t="n"/>
      <c r="I54" s="91" t="n"/>
      <c r="J54" s="92">
        <f>IF(OR(I54="",H54=""),"",EDATE(DATE(YEAR(IF(C54="",TODAY(),C54)),MONTH(IF(C54="",TODAY(),C54)),1),-(I54-1)))</f>
        <v/>
      </c>
      <c r="K54" s="39">
        <f>IF(OR(F54="",H54=""),"",IF(G54="Parcela mensal",F54,F54/H54))</f>
        <v/>
      </c>
      <c r="L54" s="40">
        <f>IF(OR(F54="",H54=""),"",IF(G54="Parcela mensal",F54*H54,F54))</f>
        <v/>
      </c>
      <c r="M54" s="12" t="n"/>
      <c r="N54" s="12" t="n"/>
      <c r="O54" s="0">
        <f>IF(OR(J54="",H54=""),"",EDATE(J54,H54-1))</f>
        <v/>
      </c>
      <c r="P54" s="0">
        <f>IF(OR(H54="",I54=""),"",H54-I54)</f>
        <v/>
      </c>
      <c r="Q54" s="0">
        <f>IF(D54="","",IF(I54&gt;H54,"⚠️ Parc. inválida",IF(I54&lt;1,"⚠️ Parc. inválida","✅ Calculado")))</f>
        <v/>
      </c>
    </row>
    <row r="55" ht="18" customHeight="1" s="109">
      <c r="A55" s="60">
        <f>IF(D55="","",ROW()-4)</f>
        <v/>
      </c>
      <c r="B55" s="8" t="n"/>
      <c r="C55" s="97" t="n"/>
      <c r="D55" s="8" t="n"/>
      <c r="E55" s="8" t="n"/>
      <c r="F55" s="90" t="n"/>
      <c r="G55" s="8" t="n"/>
      <c r="H55" s="91" t="n"/>
      <c r="I55" s="91" t="n"/>
      <c r="J55" s="92">
        <f>IF(OR(I55="",H55=""),"",EDATE(DATE(YEAR(IF(C55="",TODAY(),C55)),MONTH(IF(C55="",TODAY(),C55)),1),-(I55-1)))</f>
        <v/>
      </c>
      <c r="K55" s="39">
        <f>IF(OR(F55="",H55=""),"",IF(G55="Parcela mensal",F55,F55/H55))</f>
        <v/>
      </c>
      <c r="L55" s="40">
        <f>IF(OR(F55="",H55=""),"",IF(G55="Parcela mensal",F55*H55,F55))</f>
        <v/>
      </c>
      <c r="M55" s="8" t="n"/>
      <c r="N55" s="8" t="n"/>
      <c r="O55" s="0">
        <f>IF(OR(J55="",H55=""),"",EDATE(J55,H55-1))</f>
        <v/>
      </c>
      <c r="P55" s="0">
        <f>IF(OR(H55="",I55=""),"",H55-I55)</f>
        <v/>
      </c>
      <c r="Q55" s="0">
        <f>IF(D55="","",IF(I55&gt;H55,"⚠️ Parc. inválida",IF(I55&lt;1,"⚠️ Parc. inválida","✅ Calculado")))</f>
        <v/>
      </c>
    </row>
    <row r="56" ht="18" customHeight="1" s="109">
      <c r="A56" s="64">
        <f>IF(D56="","",ROW()-4)</f>
        <v/>
      </c>
      <c r="B56" s="12" t="n"/>
      <c r="C56" s="98" t="n"/>
      <c r="D56" s="12" t="n"/>
      <c r="E56" s="12" t="n"/>
      <c r="F56" s="90" t="n"/>
      <c r="G56" s="12" t="n"/>
      <c r="H56" s="91" t="n"/>
      <c r="I56" s="91" t="n"/>
      <c r="J56" s="92">
        <f>IF(OR(I56="",H56=""),"",EDATE(DATE(YEAR(IF(C56="",TODAY(),C56)),MONTH(IF(C56="",TODAY(),C56)),1),-(I56-1)))</f>
        <v/>
      </c>
      <c r="K56" s="39">
        <f>IF(OR(F56="",H56=""),"",IF(G56="Parcela mensal",F56,F56/H56))</f>
        <v/>
      </c>
      <c r="L56" s="40">
        <f>IF(OR(F56="",H56=""),"",IF(G56="Parcela mensal",F56*H56,F56))</f>
        <v/>
      </c>
      <c r="M56" s="12" t="n"/>
      <c r="N56" s="12" t="n"/>
      <c r="O56" s="0">
        <f>IF(OR(J56="",H56=""),"",EDATE(J56,H56-1))</f>
        <v/>
      </c>
      <c r="P56" s="0">
        <f>IF(OR(H56="",I56=""),"",H56-I56)</f>
        <v/>
      </c>
      <c r="Q56" s="0">
        <f>IF(D56="","",IF(I56&gt;H56,"⚠️ Parc. inválida",IF(I56&lt;1,"⚠️ Parc. inválida","✅ Calculado")))</f>
        <v/>
      </c>
    </row>
    <row r="57" ht="18" customHeight="1" s="109">
      <c r="A57" s="60">
        <f>IF(D57="","",ROW()-4)</f>
        <v/>
      </c>
      <c r="B57" s="8" t="n"/>
      <c r="C57" s="97" t="n"/>
      <c r="D57" s="8" t="n"/>
      <c r="E57" s="8" t="n"/>
      <c r="F57" s="90" t="n"/>
      <c r="G57" s="8" t="n"/>
      <c r="H57" s="91" t="n"/>
      <c r="I57" s="91" t="n"/>
      <c r="J57" s="92">
        <f>IF(OR(I57="",H57=""),"",EDATE(DATE(YEAR(IF(C57="",TODAY(),C57)),MONTH(IF(C57="",TODAY(),C57)),1),-(I57-1)))</f>
        <v/>
      </c>
      <c r="K57" s="39">
        <f>IF(OR(F57="",H57=""),"",IF(G57="Parcela mensal",F57,F57/H57))</f>
        <v/>
      </c>
      <c r="L57" s="40">
        <f>IF(OR(F57="",H57=""),"",IF(G57="Parcela mensal",F57*H57,F57))</f>
        <v/>
      </c>
      <c r="M57" s="8" t="n"/>
      <c r="N57" s="8" t="n"/>
      <c r="O57" s="0">
        <f>IF(OR(J57="",H57=""),"",EDATE(J57,H57-1))</f>
        <v/>
      </c>
      <c r="P57" s="0">
        <f>IF(OR(H57="",I57=""),"",H57-I57)</f>
        <v/>
      </c>
      <c r="Q57" s="0">
        <f>IF(D57="","",IF(I57&gt;H57,"⚠️ Parc. inválida",IF(I57&lt;1,"⚠️ Parc. inválida","✅ Calculado")))</f>
        <v/>
      </c>
    </row>
    <row r="58" ht="18" customHeight="1" s="109">
      <c r="A58" s="64">
        <f>IF(D58="","",ROW()-4)</f>
        <v/>
      </c>
      <c r="B58" s="12" t="n"/>
      <c r="C58" s="98" t="n"/>
      <c r="D58" s="12" t="n"/>
      <c r="E58" s="12" t="n"/>
      <c r="F58" s="90" t="n"/>
      <c r="G58" s="12" t="n"/>
      <c r="H58" s="91" t="n"/>
      <c r="I58" s="91" t="n"/>
      <c r="J58" s="92">
        <f>IF(OR(I58="",H58=""),"",EDATE(DATE(YEAR(IF(C58="",TODAY(),C58)),MONTH(IF(C58="",TODAY(),C58)),1),-(I58-1)))</f>
        <v/>
      </c>
      <c r="K58" s="39">
        <f>IF(OR(F58="",H58=""),"",IF(G58="Parcela mensal",F58,F58/H58))</f>
        <v/>
      </c>
      <c r="L58" s="40">
        <f>IF(OR(F58="",H58=""),"",IF(G58="Parcela mensal",F58*H58,F58))</f>
        <v/>
      </c>
      <c r="M58" s="12" t="n"/>
      <c r="N58" s="12" t="n"/>
      <c r="O58" s="0">
        <f>IF(OR(J58="",H58=""),"",EDATE(J58,H58-1))</f>
        <v/>
      </c>
      <c r="P58" s="0">
        <f>IF(OR(H58="",I58=""),"",H58-I58)</f>
        <v/>
      </c>
      <c r="Q58" s="0">
        <f>IF(D58="","",IF(I58&gt;H58,"⚠️ Parc. inválida",IF(I58&lt;1,"⚠️ Parc. inválida","✅ Calculado")))</f>
        <v/>
      </c>
    </row>
    <row r="59" ht="18" customHeight="1" s="109">
      <c r="A59" s="60">
        <f>IF(D59="","",ROW()-4)</f>
        <v/>
      </c>
      <c r="B59" s="8" t="n"/>
      <c r="C59" s="97" t="n"/>
      <c r="D59" s="8" t="n"/>
      <c r="E59" s="8" t="n"/>
      <c r="F59" s="90" t="n"/>
      <c r="G59" s="8" t="n"/>
      <c r="H59" s="91" t="n"/>
      <c r="I59" s="91" t="n"/>
      <c r="J59" s="92">
        <f>IF(OR(I59="",H59=""),"",EDATE(DATE(YEAR(IF(C59="",TODAY(),C59)),MONTH(IF(C59="",TODAY(),C59)),1),-(I59-1)))</f>
        <v/>
      </c>
      <c r="K59" s="39">
        <f>IF(OR(F59="",H59=""),"",IF(G59="Parcela mensal",F59,F59/H59))</f>
        <v/>
      </c>
      <c r="L59" s="40">
        <f>IF(OR(F59="",H59=""),"",IF(G59="Parcela mensal",F59*H59,F59))</f>
        <v/>
      </c>
      <c r="M59" s="8" t="n"/>
      <c r="N59" s="8" t="n"/>
      <c r="O59" s="0">
        <f>IF(OR(J59="",H59=""),"",EDATE(J59,H59-1))</f>
        <v/>
      </c>
      <c r="P59" s="0">
        <f>IF(OR(H59="",I59=""),"",H59-I59)</f>
        <v/>
      </c>
      <c r="Q59" s="0">
        <f>IF(D59="","",IF(I59&gt;H59,"⚠️ Parc. inválida",IF(I59&lt;1,"⚠️ Parc. inválida","✅ Calculado")))</f>
        <v/>
      </c>
    </row>
    <row r="60" ht="18" customHeight="1" s="109">
      <c r="A60" s="64">
        <f>IF(D60="","",ROW()-4)</f>
        <v/>
      </c>
      <c r="B60" s="12" t="n"/>
      <c r="C60" s="98" t="n"/>
      <c r="D60" s="12" t="n"/>
      <c r="E60" s="12" t="n"/>
      <c r="F60" s="90" t="n"/>
      <c r="G60" s="12" t="n"/>
      <c r="H60" s="91" t="n"/>
      <c r="I60" s="91" t="n"/>
      <c r="J60" s="92">
        <f>IF(OR(I60="",H60=""),"",EDATE(DATE(YEAR(IF(C60="",TODAY(),C60)),MONTH(IF(C60="",TODAY(),C60)),1),-(I60-1)))</f>
        <v/>
      </c>
      <c r="K60" s="39">
        <f>IF(OR(F60="",H60=""),"",IF(G60="Parcela mensal",F60,F60/H60))</f>
        <v/>
      </c>
      <c r="L60" s="40">
        <f>IF(OR(F60="",H60=""),"",IF(G60="Parcela mensal",F60*H60,F60))</f>
        <v/>
      </c>
      <c r="M60" s="12" t="n"/>
      <c r="N60" s="12" t="n"/>
      <c r="O60" s="0">
        <f>IF(OR(J60="",H60=""),"",EDATE(J60,H60-1))</f>
        <v/>
      </c>
      <c r="P60" s="0">
        <f>IF(OR(H60="",I60=""),"",H60-I60)</f>
        <v/>
      </c>
      <c r="Q60" s="0">
        <f>IF(D60="","",IF(I60&gt;H60,"⚠️ Parc. inválida",IF(I60&lt;1,"⚠️ Parc. inválida","✅ Calculado")))</f>
        <v/>
      </c>
    </row>
    <row r="61" ht="18" customHeight="1" s="109">
      <c r="A61" s="60">
        <f>IF(D61="","",ROW()-4)</f>
        <v/>
      </c>
      <c r="B61" s="8" t="n"/>
      <c r="C61" s="97" t="n"/>
      <c r="D61" s="8" t="n"/>
      <c r="E61" s="8" t="n"/>
      <c r="F61" s="90" t="n"/>
      <c r="G61" s="8" t="n"/>
      <c r="H61" s="91" t="n"/>
      <c r="I61" s="91" t="n"/>
      <c r="J61" s="92">
        <f>IF(OR(I61="",H61=""),"",EDATE(DATE(YEAR(IF(C61="",TODAY(),C61)),MONTH(IF(C61="",TODAY(),C61)),1),-(I61-1)))</f>
        <v/>
      </c>
      <c r="K61" s="39">
        <f>IF(OR(F61="",H61=""),"",IF(G61="Parcela mensal",F61,F61/H61))</f>
        <v/>
      </c>
      <c r="L61" s="40">
        <f>IF(OR(F61="",H61=""),"",IF(G61="Parcela mensal",F61*H61,F61))</f>
        <v/>
      </c>
      <c r="M61" s="8" t="n"/>
      <c r="N61" s="8" t="n"/>
      <c r="O61" s="0">
        <f>IF(OR(J61="",H61=""),"",EDATE(J61,H61-1))</f>
        <v/>
      </c>
      <c r="P61" s="0">
        <f>IF(OR(H61="",I61=""),"",H61-I61)</f>
        <v/>
      </c>
      <c r="Q61" s="0">
        <f>IF(D61="","",IF(I61&gt;H61,"⚠️ Parc. inválida",IF(I61&lt;1,"⚠️ Parc. inválida","✅ Calculado")))</f>
        <v/>
      </c>
    </row>
    <row r="62" ht="18" customHeight="1" s="109">
      <c r="A62" s="64">
        <f>IF(D62="","",ROW()-4)</f>
        <v/>
      </c>
      <c r="B62" s="12" t="n"/>
      <c r="C62" s="98" t="n"/>
      <c r="D62" s="12" t="n"/>
      <c r="E62" s="12" t="n"/>
      <c r="F62" s="90" t="n"/>
      <c r="G62" s="12" t="n"/>
      <c r="H62" s="91" t="n"/>
      <c r="I62" s="91" t="n"/>
      <c r="J62" s="92">
        <f>IF(OR(I62="",H62=""),"",EDATE(DATE(YEAR(IF(C62="",TODAY(),C62)),MONTH(IF(C62="",TODAY(),C62)),1),-(I62-1)))</f>
        <v/>
      </c>
      <c r="K62" s="39">
        <f>IF(OR(F62="",H62=""),"",IF(G62="Parcela mensal",F62,F62/H62))</f>
        <v/>
      </c>
      <c r="L62" s="40">
        <f>IF(OR(F62="",H62=""),"",IF(G62="Parcela mensal",F62*H62,F62))</f>
        <v/>
      </c>
      <c r="M62" s="12" t="n"/>
      <c r="N62" s="12" t="n"/>
      <c r="O62" s="0">
        <f>IF(OR(J62="",H62=""),"",EDATE(J62,H62-1))</f>
        <v/>
      </c>
      <c r="P62" s="0">
        <f>IF(OR(H62="",I62=""),"",H62-I62)</f>
        <v/>
      </c>
      <c r="Q62" s="0">
        <f>IF(D62="","",IF(I62&gt;H62,"⚠️ Parc. inválida",IF(I62&lt;1,"⚠️ Parc. inválida","✅ Calculado")))</f>
        <v/>
      </c>
    </row>
    <row r="63" ht="18" customHeight="1" s="109">
      <c r="A63" s="60">
        <f>IF(D63="","",ROW()-4)</f>
        <v/>
      </c>
      <c r="B63" s="8" t="n"/>
      <c r="C63" s="97" t="n"/>
      <c r="D63" s="8" t="n"/>
      <c r="E63" s="8" t="n"/>
      <c r="F63" s="90" t="n"/>
      <c r="G63" s="8" t="n"/>
      <c r="H63" s="91" t="n"/>
      <c r="I63" s="91" t="n"/>
      <c r="J63" s="92">
        <f>IF(OR(I63="",H63=""),"",EDATE(DATE(YEAR(IF(C63="",TODAY(),C63)),MONTH(IF(C63="",TODAY(),C63)),1),-(I63-1)))</f>
        <v/>
      </c>
      <c r="K63" s="39">
        <f>IF(OR(F63="",H63=""),"",IF(G63="Parcela mensal",F63,F63/H63))</f>
        <v/>
      </c>
      <c r="L63" s="40">
        <f>IF(OR(F63="",H63=""),"",IF(G63="Parcela mensal",F63*H63,F63))</f>
        <v/>
      </c>
      <c r="M63" s="8" t="n"/>
      <c r="N63" s="8" t="n"/>
      <c r="O63" s="0">
        <f>IF(OR(J63="",H63=""),"",EDATE(J63,H63-1))</f>
        <v/>
      </c>
      <c r="P63" s="0">
        <f>IF(OR(H63="",I63=""),"",H63-I63)</f>
        <v/>
      </c>
      <c r="Q63" s="0">
        <f>IF(D63="","",IF(I63&gt;H63,"⚠️ Parc. inválida",IF(I63&lt;1,"⚠️ Parc. inválida","✅ Calculado")))</f>
        <v/>
      </c>
    </row>
    <row r="64" ht="18" customHeight="1" s="109">
      <c r="A64" s="64">
        <f>IF(D64="","",ROW()-4)</f>
        <v/>
      </c>
      <c r="B64" s="12" t="n"/>
      <c r="C64" s="98" t="n"/>
      <c r="D64" s="12" t="n"/>
      <c r="E64" s="12" t="n"/>
      <c r="F64" s="90" t="n"/>
      <c r="G64" s="12" t="n"/>
      <c r="H64" s="91" t="n"/>
      <c r="I64" s="91" t="n"/>
      <c r="J64" s="92">
        <f>IF(OR(I64="",H64=""),"",EDATE(DATE(YEAR(IF(C64="",TODAY(),C64)),MONTH(IF(C64="",TODAY(),C64)),1),-(I64-1)))</f>
        <v/>
      </c>
      <c r="K64" s="39">
        <f>IF(OR(F64="",H64=""),"",IF(G64="Parcela mensal",F64,F64/H64))</f>
        <v/>
      </c>
      <c r="L64" s="40">
        <f>IF(OR(F64="",H64=""),"",IF(G64="Parcela mensal",F64*H64,F64))</f>
        <v/>
      </c>
      <c r="M64" s="12" t="n"/>
      <c r="N64" s="12" t="n"/>
      <c r="O64" s="0">
        <f>IF(OR(J64="",H64=""),"",EDATE(J64,H64-1))</f>
        <v/>
      </c>
      <c r="P64" s="0">
        <f>IF(OR(H64="",I64=""),"",H64-I64)</f>
        <v/>
      </c>
      <c r="Q64" s="0">
        <f>IF(D64="","",IF(I64&gt;H64,"⚠️ Parc. inválida",IF(I64&lt;1,"⚠️ Parc. inválida","✅ Calculado")))</f>
        <v/>
      </c>
    </row>
    <row r="65" ht="18" customHeight="1" s="109">
      <c r="A65" s="60">
        <f>IF(D65="","",ROW()-4)</f>
        <v/>
      </c>
      <c r="B65" s="8" t="n"/>
      <c r="C65" s="97" t="n"/>
      <c r="D65" s="8" t="n"/>
      <c r="E65" s="8" t="n"/>
      <c r="F65" s="90" t="n"/>
      <c r="G65" s="8" t="n"/>
      <c r="H65" s="91" t="n"/>
      <c r="I65" s="91" t="n"/>
      <c r="J65" s="92">
        <f>IF(OR(I65="",H65=""),"",EDATE(DATE(YEAR(IF(C65="",TODAY(),C65)),MONTH(IF(C65="",TODAY(),C65)),1),-(I65-1)))</f>
        <v/>
      </c>
      <c r="K65" s="39">
        <f>IF(OR(F65="",H65=""),"",IF(G65="Parcela mensal",F65,F65/H65))</f>
        <v/>
      </c>
      <c r="L65" s="40">
        <f>IF(OR(F65="",H65=""),"",IF(G65="Parcela mensal",F65*H65,F65))</f>
        <v/>
      </c>
      <c r="M65" s="8" t="n"/>
      <c r="N65" s="8" t="n"/>
      <c r="O65" s="0">
        <f>IF(OR(J65="",H65=""),"",EDATE(J65,H65-1))</f>
        <v/>
      </c>
      <c r="P65" s="0">
        <f>IF(OR(H65="",I65=""),"",H65-I65)</f>
        <v/>
      </c>
      <c r="Q65" s="0">
        <f>IF(D65="","",IF(I65&gt;H65,"⚠️ Parc. inválida",IF(I65&lt;1,"⚠️ Parc. inválida","✅ Calculado")))</f>
        <v/>
      </c>
    </row>
    <row r="66" ht="18" customHeight="1" s="109">
      <c r="A66" s="64">
        <f>IF(D66="","",ROW()-4)</f>
        <v/>
      </c>
      <c r="B66" s="12" t="n"/>
      <c r="C66" s="98" t="n"/>
      <c r="D66" s="12" t="n"/>
      <c r="E66" s="12" t="n"/>
      <c r="F66" s="90" t="n"/>
      <c r="G66" s="12" t="n"/>
      <c r="H66" s="91" t="n"/>
      <c r="I66" s="91" t="n"/>
      <c r="J66" s="92">
        <f>IF(OR(I66="",H66=""),"",EDATE(DATE(YEAR(IF(C66="",TODAY(),C66)),MONTH(IF(C66="",TODAY(),C66)),1),-(I66-1)))</f>
        <v/>
      </c>
      <c r="K66" s="39">
        <f>IF(OR(F66="",H66=""),"",IF(G66="Parcela mensal",F66,F66/H66))</f>
        <v/>
      </c>
      <c r="L66" s="40">
        <f>IF(OR(F66="",H66=""),"",IF(G66="Parcela mensal",F66*H66,F66))</f>
        <v/>
      </c>
      <c r="M66" s="12" t="n"/>
      <c r="N66" s="12" t="n"/>
      <c r="O66" s="0">
        <f>IF(OR(J66="",H66=""),"",EDATE(J66,H66-1))</f>
        <v/>
      </c>
      <c r="P66" s="0">
        <f>IF(OR(H66="",I66=""),"",H66-I66)</f>
        <v/>
      </c>
      <c r="Q66" s="0">
        <f>IF(D66="","",IF(I66&gt;H66,"⚠️ Parc. inválida",IF(I66&lt;1,"⚠️ Parc. inválida","✅ Calculado")))</f>
        <v/>
      </c>
    </row>
    <row r="67" ht="18" customHeight="1" s="109">
      <c r="A67" s="60">
        <f>IF(D67="","",ROW()-4)</f>
        <v/>
      </c>
      <c r="B67" s="8" t="n"/>
      <c r="C67" s="97" t="n"/>
      <c r="D67" s="8" t="n"/>
      <c r="E67" s="8" t="n"/>
      <c r="F67" s="90" t="n"/>
      <c r="G67" s="8" t="n"/>
      <c r="H67" s="91" t="n"/>
      <c r="I67" s="91" t="n"/>
      <c r="J67" s="92">
        <f>IF(OR(I67="",H67=""),"",EDATE(DATE(YEAR(IF(C67="",TODAY(),C67)),MONTH(IF(C67="",TODAY(),C67)),1),-(I67-1)))</f>
        <v/>
      </c>
      <c r="K67" s="39">
        <f>IF(OR(F67="",H67=""),"",IF(G67="Parcela mensal",F67,F67/H67))</f>
        <v/>
      </c>
      <c r="L67" s="40">
        <f>IF(OR(F67="",H67=""),"",IF(G67="Parcela mensal",F67*H67,F67))</f>
        <v/>
      </c>
      <c r="M67" s="8" t="n"/>
      <c r="N67" s="8" t="n"/>
      <c r="O67" s="0">
        <f>IF(OR(J67="",H67=""),"",EDATE(J67,H67-1))</f>
        <v/>
      </c>
      <c r="P67" s="0">
        <f>IF(OR(H67="",I67=""),"",H67-I67)</f>
        <v/>
      </c>
      <c r="Q67" s="0">
        <f>IF(D67="","",IF(I67&gt;H67,"⚠️ Parc. inválida",IF(I67&lt;1,"⚠️ Parc. inválida","✅ Calculado")))</f>
        <v/>
      </c>
    </row>
    <row r="68" ht="18" customHeight="1" s="109">
      <c r="A68" s="64">
        <f>IF(D68="","",ROW()-4)</f>
        <v/>
      </c>
      <c r="B68" s="12" t="n"/>
      <c r="C68" s="98" t="n"/>
      <c r="D68" s="12" t="n"/>
      <c r="E68" s="12" t="n"/>
      <c r="F68" s="90" t="n"/>
      <c r="G68" s="12" t="n"/>
      <c r="H68" s="91" t="n"/>
      <c r="I68" s="91" t="n"/>
      <c r="J68" s="92">
        <f>IF(OR(I68="",H68=""),"",EDATE(DATE(YEAR(IF(C68="",TODAY(),C68)),MONTH(IF(C68="",TODAY(),C68)),1),-(I68-1)))</f>
        <v/>
      </c>
      <c r="K68" s="39">
        <f>IF(OR(F68="",H68=""),"",IF(G68="Parcela mensal",F68,F68/H68))</f>
        <v/>
      </c>
      <c r="L68" s="40">
        <f>IF(OR(F68="",H68=""),"",IF(G68="Parcela mensal",F68*H68,F68))</f>
        <v/>
      </c>
      <c r="M68" s="12" t="n"/>
      <c r="N68" s="12" t="n"/>
      <c r="O68" s="0">
        <f>IF(OR(J68="",H68=""),"",EDATE(J68,H68-1))</f>
        <v/>
      </c>
      <c r="P68" s="0">
        <f>IF(OR(H68="",I68=""),"",H68-I68)</f>
        <v/>
      </c>
      <c r="Q68" s="0">
        <f>IF(D68="","",IF(I68&gt;H68,"⚠️ Parc. inválida",IF(I68&lt;1,"⚠️ Parc. inválida","✅ Calculado")))</f>
        <v/>
      </c>
    </row>
    <row r="69" ht="18" customHeight="1" s="109">
      <c r="A69" s="60">
        <f>IF(D69="","",ROW()-4)</f>
        <v/>
      </c>
      <c r="B69" s="8" t="n"/>
      <c r="C69" s="97" t="n"/>
      <c r="D69" s="8" t="n"/>
      <c r="E69" s="8" t="n"/>
      <c r="F69" s="90" t="n"/>
      <c r="G69" s="8" t="n"/>
      <c r="H69" s="91" t="n"/>
      <c r="I69" s="91" t="n"/>
      <c r="J69" s="92">
        <f>IF(OR(I69="",H69=""),"",EDATE(DATE(YEAR(IF(C69="",TODAY(),C69)),MONTH(IF(C69="",TODAY(),C69)),1),-(I69-1)))</f>
        <v/>
      </c>
      <c r="K69" s="39">
        <f>IF(OR(F69="",H69=""),"",IF(G69="Parcela mensal",F69,F69/H69))</f>
        <v/>
      </c>
      <c r="L69" s="40">
        <f>IF(OR(F69="",H69=""),"",IF(G69="Parcela mensal",F69*H69,F69))</f>
        <v/>
      </c>
      <c r="M69" s="8" t="n"/>
      <c r="N69" s="8" t="n"/>
      <c r="O69" s="0">
        <f>IF(OR(J69="",H69=""),"",EDATE(J69,H69-1))</f>
        <v/>
      </c>
      <c r="P69" s="0">
        <f>IF(OR(H69="",I69=""),"",H69-I69)</f>
        <v/>
      </c>
      <c r="Q69" s="0">
        <f>IF(D69="","",IF(I69&gt;H69,"⚠️ Parc. inválida",IF(I69&lt;1,"⚠️ Parc. inválida","✅ Calculado")))</f>
        <v/>
      </c>
    </row>
    <row r="70" ht="18" customHeight="1" s="109">
      <c r="A70" s="64">
        <f>IF(D70="","",ROW()-4)</f>
        <v/>
      </c>
      <c r="B70" s="12" t="n"/>
      <c r="C70" s="98" t="n"/>
      <c r="D70" s="12" t="n"/>
      <c r="E70" s="12" t="n"/>
      <c r="F70" s="90" t="n"/>
      <c r="G70" s="12" t="n"/>
      <c r="H70" s="91" t="n"/>
      <c r="I70" s="91" t="n"/>
      <c r="J70" s="92">
        <f>IF(OR(I70="",H70=""),"",EDATE(DATE(YEAR(IF(C70="",TODAY(),C70)),MONTH(IF(C70="",TODAY(),C70)),1),-(I70-1)))</f>
        <v/>
      </c>
      <c r="K70" s="39">
        <f>IF(OR(F70="",H70=""),"",IF(G70="Parcela mensal",F70,F70/H70))</f>
        <v/>
      </c>
      <c r="L70" s="40">
        <f>IF(OR(F70="",H70=""),"",IF(G70="Parcela mensal",F70*H70,F70))</f>
        <v/>
      </c>
      <c r="M70" s="12" t="n"/>
      <c r="N70" s="12" t="n"/>
      <c r="O70" s="0">
        <f>IF(OR(J70="",H70=""),"",EDATE(J70,H70-1))</f>
        <v/>
      </c>
      <c r="P70" s="0">
        <f>IF(OR(H70="",I70=""),"",H70-I70)</f>
        <v/>
      </c>
      <c r="Q70" s="0">
        <f>IF(D70="","",IF(I70&gt;H70,"⚠️ Parc. inválida",IF(I70&lt;1,"⚠️ Parc. inválida","✅ Calculado")))</f>
        <v/>
      </c>
    </row>
    <row r="71" ht="18" customHeight="1" s="109">
      <c r="A71" s="60">
        <f>IF(D71="","",ROW()-4)</f>
        <v/>
      </c>
      <c r="B71" s="8" t="n"/>
      <c r="C71" s="97" t="n"/>
      <c r="D71" s="8" t="n"/>
      <c r="E71" s="8" t="n"/>
      <c r="F71" s="90" t="n"/>
      <c r="G71" s="8" t="n"/>
      <c r="H71" s="91" t="n"/>
      <c r="I71" s="91" t="n"/>
      <c r="J71" s="92">
        <f>IF(OR(I71="",H71=""),"",EDATE(DATE(YEAR(IF(C71="",TODAY(),C71)),MONTH(IF(C71="",TODAY(),C71)),1),-(I71-1)))</f>
        <v/>
      </c>
      <c r="K71" s="39">
        <f>IF(OR(F71="",H71=""),"",IF(G71="Parcela mensal",F71,F71/H71))</f>
        <v/>
      </c>
      <c r="L71" s="40">
        <f>IF(OR(F71="",H71=""),"",IF(G71="Parcela mensal",F71*H71,F71))</f>
        <v/>
      </c>
      <c r="M71" s="8" t="n"/>
      <c r="N71" s="8" t="n"/>
      <c r="O71" s="0">
        <f>IF(OR(J71="",H71=""),"",EDATE(J71,H71-1))</f>
        <v/>
      </c>
      <c r="P71" s="0">
        <f>IF(OR(H71="",I71=""),"",H71-I71)</f>
        <v/>
      </c>
      <c r="Q71" s="0">
        <f>IF(D71="","",IF(I71&gt;H71,"⚠️ Parc. inválida",IF(I71&lt;1,"⚠️ Parc. inválida","✅ Calculado")))</f>
        <v/>
      </c>
    </row>
    <row r="72" ht="18" customHeight="1" s="109">
      <c r="A72" s="64">
        <f>IF(D72="","",ROW()-4)</f>
        <v/>
      </c>
      <c r="B72" s="12" t="n"/>
      <c r="C72" s="98" t="n"/>
      <c r="D72" s="12" t="n"/>
      <c r="E72" s="12" t="n"/>
      <c r="F72" s="90" t="n"/>
      <c r="G72" s="12" t="n"/>
      <c r="H72" s="91" t="n"/>
      <c r="I72" s="91" t="n"/>
      <c r="J72" s="92">
        <f>IF(OR(I72="",H72=""),"",EDATE(DATE(YEAR(IF(C72="",TODAY(),C72)),MONTH(IF(C72="",TODAY(),C72)),1),-(I72-1)))</f>
        <v/>
      </c>
      <c r="K72" s="39">
        <f>IF(OR(F72="",H72=""),"",IF(G72="Parcela mensal",F72,F72/H72))</f>
        <v/>
      </c>
      <c r="L72" s="40">
        <f>IF(OR(F72="",H72=""),"",IF(G72="Parcela mensal",F72*H72,F72))</f>
        <v/>
      </c>
      <c r="M72" s="12" t="n"/>
      <c r="N72" s="12" t="n"/>
      <c r="O72" s="0">
        <f>IF(OR(J72="",H72=""),"",EDATE(J72,H72-1))</f>
        <v/>
      </c>
      <c r="P72" s="0">
        <f>IF(OR(H72="",I72=""),"",H72-I72)</f>
        <v/>
      </c>
      <c r="Q72" s="0">
        <f>IF(D72="","",IF(I72&gt;H72,"⚠️ Parc. inválida",IF(I72&lt;1,"⚠️ Parc. inválida","✅ Calculado")))</f>
        <v/>
      </c>
    </row>
    <row r="73" ht="18" customHeight="1" s="109">
      <c r="A73" s="60">
        <f>IF(D73="","",ROW()-4)</f>
        <v/>
      </c>
      <c r="B73" s="8" t="n"/>
      <c r="C73" s="97" t="n"/>
      <c r="D73" s="8" t="n"/>
      <c r="E73" s="8" t="n"/>
      <c r="F73" s="90" t="n"/>
      <c r="G73" s="8" t="n"/>
      <c r="H73" s="91" t="n"/>
      <c r="I73" s="91" t="n"/>
      <c r="J73" s="92">
        <f>IF(OR(I73="",H73=""),"",EDATE(DATE(YEAR(IF(C73="",TODAY(),C73)),MONTH(IF(C73="",TODAY(),C73)),1),-(I73-1)))</f>
        <v/>
      </c>
      <c r="K73" s="39">
        <f>IF(OR(F73="",H73=""),"",IF(G73="Parcela mensal",F73,F73/H73))</f>
        <v/>
      </c>
      <c r="L73" s="40">
        <f>IF(OR(F73="",H73=""),"",IF(G73="Parcela mensal",F73*H73,F73))</f>
        <v/>
      </c>
      <c r="M73" s="8" t="n"/>
      <c r="N73" s="8" t="n"/>
      <c r="O73" s="0">
        <f>IF(OR(J73="",H73=""),"",EDATE(J73,H73-1))</f>
        <v/>
      </c>
      <c r="P73" s="0">
        <f>IF(OR(H73="",I73=""),"",H73-I73)</f>
        <v/>
      </c>
      <c r="Q73" s="0">
        <f>IF(D73="","",IF(I73&gt;H73,"⚠️ Parc. inválida",IF(I73&lt;1,"⚠️ Parc. inválida","✅ Calculado")))</f>
        <v/>
      </c>
    </row>
    <row r="74" ht="18" customHeight="1" s="109">
      <c r="A74" s="64">
        <f>IF(D74="","",ROW()-4)</f>
        <v/>
      </c>
      <c r="B74" s="12" t="n"/>
      <c r="C74" s="98" t="n"/>
      <c r="D74" s="12" t="n"/>
      <c r="E74" s="12" t="n"/>
      <c r="F74" s="90" t="n"/>
      <c r="G74" s="12" t="n"/>
      <c r="H74" s="91" t="n"/>
      <c r="I74" s="91" t="n"/>
      <c r="J74" s="92">
        <f>IF(OR(I74="",H74=""),"",EDATE(DATE(YEAR(IF(C74="",TODAY(),C74)),MONTH(IF(C74="",TODAY(),C74)),1),-(I74-1)))</f>
        <v/>
      </c>
      <c r="K74" s="39">
        <f>IF(OR(F74="",H74=""),"",IF(G74="Parcela mensal",F74,F74/H74))</f>
        <v/>
      </c>
      <c r="L74" s="40">
        <f>IF(OR(F74="",H74=""),"",IF(G74="Parcela mensal",F74*H74,F74))</f>
        <v/>
      </c>
      <c r="M74" s="12" t="n"/>
      <c r="N74" s="12" t="n"/>
      <c r="O74" s="0">
        <f>IF(OR(J74="",H74=""),"",EDATE(J74,H74-1))</f>
        <v/>
      </c>
      <c r="P74" s="0">
        <f>IF(OR(H74="",I74=""),"",H74-I74)</f>
        <v/>
      </c>
      <c r="Q74" s="0">
        <f>IF(D74="","",IF(I74&gt;H74,"⚠️ Parc. inválida",IF(I74&lt;1,"⚠️ Parc. inválida","✅ Calculado")))</f>
        <v/>
      </c>
    </row>
    <row r="75" ht="18" customHeight="1" s="109">
      <c r="A75" s="60">
        <f>IF(D75="","",ROW()-4)</f>
        <v/>
      </c>
      <c r="B75" s="8" t="n"/>
      <c r="C75" s="97" t="n"/>
      <c r="D75" s="8" t="n"/>
      <c r="E75" s="8" t="n"/>
      <c r="F75" s="90" t="n"/>
      <c r="G75" s="8" t="n"/>
      <c r="H75" s="91" t="n"/>
      <c r="I75" s="91" t="n"/>
      <c r="J75" s="92">
        <f>IF(OR(I75="",H75=""),"",EDATE(DATE(YEAR(IF(C75="",TODAY(),C75)),MONTH(IF(C75="",TODAY(),C75)),1),-(I75-1)))</f>
        <v/>
      </c>
      <c r="K75" s="39">
        <f>IF(OR(F75="",H75=""),"",IF(G75="Parcela mensal",F75,F75/H75))</f>
        <v/>
      </c>
      <c r="L75" s="40">
        <f>IF(OR(F75="",H75=""),"",IF(G75="Parcela mensal",F75*H75,F75))</f>
        <v/>
      </c>
      <c r="M75" s="8" t="n"/>
      <c r="N75" s="8" t="n"/>
      <c r="O75" s="0">
        <f>IF(OR(J75="",H75=""),"",EDATE(J75,H75-1))</f>
        <v/>
      </c>
      <c r="P75" s="0">
        <f>IF(OR(H75="",I75=""),"",H75-I75)</f>
        <v/>
      </c>
      <c r="Q75" s="0">
        <f>IF(D75="","",IF(I75&gt;H75,"⚠️ Parc. inválida",IF(I75&lt;1,"⚠️ Parc. inválida","✅ Calculado")))</f>
        <v/>
      </c>
    </row>
    <row r="76" ht="18" customHeight="1" s="109">
      <c r="A76" s="64">
        <f>IF(D76="","",ROW()-4)</f>
        <v/>
      </c>
      <c r="B76" s="12" t="n"/>
      <c r="C76" s="98" t="n"/>
      <c r="D76" s="12" t="n"/>
      <c r="E76" s="12" t="n"/>
      <c r="F76" s="90" t="n"/>
      <c r="G76" s="12" t="n"/>
      <c r="H76" s="91" t="n"/>
      <c r="I76" s="91" t="n"/>
      <c r="J76" s="92">
        <f>IF(OR(I76="",H76=""),"",EDATE(DATE(YEAR(IF(C76="",TODAY(),C76)),MONTH(IF(C76="",TODAY(),C76)),1),-(I76-1)))</f>
        <v/>
      </c>
      <c r="K76" s="39">
        <f>IF(OR(F76="",H76=""),"",IF(G76="Parcela mensal",F76,F76/H76))</f>
        <v/>
      </c>
      <c r="L76" s="40">
        <f>IF(OR(F76="",H76=""),"",IF(G76="Parcela mensal",F76*H76,F76))</f>
        <v/>
      </c>
      <c r="M76" s="12" t="n"/>
      <c r="N76" s="12" t="n"/>
      <c r="O76" s="0">
        <f>IF(OR(J76="",H76=""),"",EDATE(J76,H76-1))</f>
        <v/>
      </c>
      <c r="P76" s="0">
        <f>IF(OR(H76="",I76=""),"",H76-I76)</f>
        <v/>
      </c>
      <c r="Q76" s="0">
        <f>IF(D76="","",IF(I76&gt;H76,"⚠️ Parc. inválida",IF(I76&lt;1,"⚠️ Parc. inválida","✅ Calculado")))</f>
        <v/>
      </c>
    </row>
    <row r="77" ht="18" customHeight="1" s="109">
      <c r="A77" s="60">
        <f>IF(D77="","",ROW()-4)</f>
        <v/>
      </c>
      <c r="B77" s="8" t="n"/>
      <c r="C77" s="97" t="n"/>
      <c r="D77" s="8" t="n"/>
      <c r="E77" s="8" t="n"/>
      <c r="F77" s="90" t="n"/>
      <c r="G77" s="8" t="n"/>
      <c r="H77" s="91" t="n"/>
      <c r="I77" s="91" t="n"/>
      <c r="J77" s="92">
        <f>IF(OR(I77="",H77=""),"",EDATE(DATE(YEAR(IF(C77="",TODAY(),C77)),MONTH(IF(C77="",TODAY(),C77)),1),-(I77-1)))</f>
        <v/>
      </c>
      <c r="K77" s="39">
        <f>IF(OR(F77="",H77=""),"",IF(G77="Parcela mensal",F77,F77/H77))</f>
        <v/>
      </c>
      <c r="L77" s="40">
        <f>IF(OR(F77="",H77=""),"",IF(G77="Parcela mensal",F77*H77,F77))</f>
        <v/>
      </c>
      <c r="M77" s="8" t="n"/>
      <c r="N77" s="8" t="n"/>
      <c r="O77" s="0">
        <f>IF(OR(J77="",H77=""),"",EDATE(J77,H77-1))</f>
        <v/>
      </c>
      <c r="P77" s="0">
        <f>IF(OR(H77="",I77=""),"",H77-I77)</f>
        <v/>
      </c>
      <c r="Q77" s="0">
        <f>IF(D77="","",IF(I77&gt;H77,"⚠️ Parc. inválida",IF(I77&lt;1,"⚠️ Parc. inválida","✅ Calculado")))</f>
        <v/>
      </c>
    </row>
    <row r="78" ht="18" customHeight="1" s="109">
      <c r="A78" s="64">
        <f>IF(D78="","",ROW()-4)</f>
        <v/>
      </c>
      <c r="B78" s="12" t="n"/>
      <c r="C78" s="98" t="n"/>
      <c r="D78" s="12" t="n"/>
      <c r="E78" s="12" t="n"/>
      <c r="F78" s="90" t="n"/>
      <c r="G78" s="12" t="n"/>
      <c r="H78" s="91" t="n"/>
      <c r="I78" s="91" t="n"/>
      <c r="J78" s="92">
        <f>IF(OR(I78="",H78=""),"",EDATE(DATE(YEAR(IF(C78="",TODAY(),C78)),MONTH(IF(C78="",TODAY(),C78)),1),-(I78-1)))</f>
        <v/>
      </c>
      <c r="K78" s="39">
        <f>IF(OR(F78="",H78=""),"",IF(G78="Parcela mensal",F78,F78/H78))</f>
        <v/>
      </c>
      <c r="L78" s="40">
        <f>IF(OR(F78="",H78=""),"",IF(G78="Parcela mensal",F78*H78,F78))</f>
        <v/>
      </c>
      <c r="M78" s="12" t="n"/>
      <c r="N78" s="12" t="n"/>
      <c r="O78" s="0">
        <f>IF(OR(J78="",H78=""),"",EDATE(J78,H78-1))</f>
        <v/>
      </c>
      <c r="P78" s="0">
        <f>IF(OR(H78="",I78=""),"",H78-I78)</f>
        <v/>
      </c>
      <c r="Q78" s="0">
        <f>IF(D78="","",IF(I78&gt;H78,"⚠️ Parc. inválida",IF(I78&lt;1,"⚠️ Parc. inválida","✅ Calculado")))</f>
        <v/>
      </c>
    </row>
    <row r="79" ht="18" customHeight="1" s="109">
      <c r="A79" s="60">
        <f>IF(D79="","",ROW()-4)</f>
        <v/>
      </c>
      <c r="B79" s="8" t="n"/>
      <c r="C79" s="97" t="n"/>
      <c r="D79" s="8" t="n"/>
      <c r="E79" s="8" t="n"/>
      <c r="F79" s="90" t="n"/>
      <c r="G79" s="8" t="n"/>
      <c r="H79" s="91" t="n"/>
      <c r="I79" s="91" t="n"/>
      <c r="J79" s="92">
        <f>IF(OR(I79="",H79=""),"",EDATE(DATE(YEAR(IF(C79="",TODAY(),C79)),MONTH(IF(C79="",TODAY(),C79)),1),-(I79-1)))</f>
        <v/>
      </c>
      <c r="K79" s="39">
        <f>IF(OR(F79="",H79=""),"",IF(G79="Parcela mensal",F79,F79/H79))</f>
        <v/>
      </c>
      <c r="L79" s="40">
        <f>IF(OR(F79="",H79=""),"",IF(G79="Parcela mensal",F79*H79,F79))</f>
        <v/>
      </c>
      <c r="M79" s="8" t="n"/>
      <c r="N79" s="8" t="n"/>
      <c r="O79" s="0">
        <f>IF(OR(J79="",H79=""),"",EDATE(J79,H79-1))</f>
        <v/>
      </c>
      <c r="P79" s="0">
        <f>IF(OR(H79="",I79=""),"",H79-I79)</f>
        <v/>
      </c>
      <c r="Q79" s="0">
        <f>IF(D79="","",IF(I79&gt;H79,"⚠️ Parc. inválida",IF(I79&lt;1,"⚠️ Parc. inválida","✅ Calculado")))</f>
        <v/>
      </c>
    </row>
    <row r="80" ht="18" customHeight="1" s="109">
      <c r="A80" s="64">
        <f>IF(D80="","",ROW()-4)</f>
        <v/>
      </c>
      <c r="B80" s="12" t="n"/>
      <c r="C80" s="98" t="n"/>
      <c r="D80" s="12" t="n"/>
      <c r="E80" s="12" t="n"/>
      <c r="F80" s="90" t="n"/>
      <c r="G80" s="12" t="n"/>
      <c r="H80" s="91" t="n"/>
      <c r="I80" s="91" t="n"/>
      <c r="J80" s="92">
        <f>IF(OR(I80="",H80=""),"",EDATE(DATE(YEAR(IF(C80="",TODAY(),C80)),MONTH(IF(C80="",TODAY(),C80)),1),-(I80-1)))</f>
        <v/>
      </c>
      <c r="K80" s="39">
        <f>IF(OR(F80="",H80=""),"",IF(G80="Parcela mensal",F80,F80/H80))</f>
        <v/>
      </c>
      <c r="L80" s="40">
        <f>IF(OR(F80="",H80=""),"",IF(G80="Parcela mensal",F80*H80,F80))</f>
        <v/>
      </c>
      <c r="M80" s="12" t="n"/>
      <c r="N80" s="12" t="n"/>
      <c r="O80" s="0">
        <f>IF(OR(J80="",H80=""),"",EDATE(J80,H80-1))</f>
        <v/>
      </c>
      <c r="P80" s="0">
        <f>IF(OR(H80="",I80=""),"",H80-I80)</f>
        <v/>
      </c>
      <c r="Q80" s="0">
        <f>IF(D80="","",IF(I80&gt;H80,"⚠️ Parc. inválida",IF(I80&lt;1,"⚠️ Parc. inválida","✅ Calculado")))</f>
        <v/>
      </c>
    </row>
    <row r="81" ht="18" customHeight="1" s="109">
      <c r="A81" s="60">
        <f>IF(D81="","",ROW()-4)</f>
        <v/>
      </c>
      <c r="B81" s="8" t="n"/>
      <c r="C81" s="97" t="n"/>
      <c r="D81" s="8" t="n"/>
      <c r="E81" s="8" t="n"/>
      <c r="F81" s="90" t="n"/>
      <c r="G81" s="8" t="n"/>
      <c r="H81" s="91" t="n"/>
      <c r="I81" s="91" t="n"/>
      <c r="J81" s="92">
        <f>IF(OR(I81="",H81=""),"",EDATE(DATE(YEAR(IF(C81="",TODAY(),C81)),MONTH(IF(C81="",TODAY(),C81)),1),-(I81-1)))</f>
        <v/>
      </c>
      <c r="K81" s="39">
        <f>IF(OR(F81="",H81=""),"",IF(G81="Parcela mensal",F81,F81/H81))</f>
        <v/>
      </c>
      <c r="L81" s="40">
        <f>IF(OR(F81="",H81=""),"",IF(G81="Parcela mensal",F81*H81,F81))</f>
        <v/>
      </c>
      <c r="M81" s="8" t="n"/>
      <c r="N81" s="8" t="n"/>
      <c r="O81" s="0">
        <f>IF(OR(J81="",H81=""),"",EDATE(J81,H81-1))</f>
        <v/>
      </c>
      <c r="P81" s="0">
        <f>IF(OR(H81="",I81=""),"",H81-I81)</f>
        <v/>
      </c>
      <c r="Q81" s="0">
        <f>IF(D81="","",IF(I81&gt;H81,"⚠️ Parc. inválida",IF(I81&lt;1,"⚠️ Parc. inválida","✅ Calculado")))</f>
        <v/>
      </c>
    </row>
    <row r="82" ht="18" customHeight="1" s="109">
      <c r="A82" s="64">
        <f>IF(D82="","",ROW()-4)</f>
        <v/>
      </c>
      <c r="B82" s="12" t="n"/>
      <c r="C82" s="98" t="n"/>
      <c r="D82" s="12" t="n"/>
      <c r="E82" s="12" t="n"/>
      <c r="F82" s="90" t="n"/>
      <c r="G82" s="12" t="n"/>
      <c r="H82" s="91" t="n"/>
      <c r="I82" s="91" t="n"/>
      <c r="J82" s="92">
        <f>IF(OR(I82="",H82=""),"",EDATE(DATE(YEAR(IF(C82="",TODAY(),C82)),MONTH(IF(C82="",TODAY(),C82)),1),-(I82-1)))</f>
        <v/>
      </c>
      <c r="K82" s="39">
        <f>IF(OR(F82="",H82=""),"",IF(G82="Parcela mensal",F82,F82/H82))</f>
        <v/>
      </c>
      <c r="L82" s="40">
        <f>IF(OR(F82="",H82=""),"",IF(G82="Parcela mensal",F82*H82,F82))</f>
        <v/>
      </c>
      <c r="M82" s="12" t="n"/>
      <c r="N82" s="12" t="n"/>
      <c r="O82" s="0">
        <f>IF(OR(J82="",H82=""),"",EDATE(J82,H82-1))</f>
        <v/>
      </c>
      <c r="P82" s="0">
        <f>IF(OR(H82="",I82=""),"",H82-I82)</f>
        <v/>
      </c>
      <c r="Q82" s="0">
        <f>IF(D82="","",IF(I82&gt;H82,"⚠️ Parc. inválida",IF(I82&lt;1,"⚠️ Parc. inválida","✅ Calculado")))</f>
        <v/>
      </c>
    </row>
    <row r="83" ht="18" customHeight="1" s="109">
      <c r="A83" s="60">
        <f>IF(D83="","",ROW()-4)</f>
        <v/>
      </c>
      <c r="B83" s="8" t="n"/>
      <c r="C83" s="97" t="n"/>
      <c r="D83" s="8" t="n"/>
      <c r="E83" s="8" t="n"/>
      <c r="F83" s="90" t="n"/>
      <c r="G83" s="8" t="n"/>
      <c r="H83" s="91" t="n"/>
      <c r="I83" s="91" t="n"/>
      <c r="J83" s="92">
        <f>IF(OR(I83="",H83=""),"",EDATE(DATE(YEAR(IF(C83="",TODAY(),C83)),MONTH(IF(C83="",TODAY(),C83)),1),-(I83-1)))</f>
        <v/>
      </c>
      <c r="K83" s="39">
        <f>IF(OR(F83="",H83=""),"",IF(G83="Parcela mensal",F83,F83/H83))</f>
        <v/>
      </c>
      <c r="L83" s="40">
        <f>IF(OR(F83="",H83=""),"",IF(G83="Parcela mensal",F83*H83,F83))</f>
        <v/>
      </c>
      <c r="M83" s="8" t="n"/>
      <c r="N83" s="8" t="n"/>
      <c r="O83" s="0">
        <f>IF(OR(J83="",H83=""),"",EDATE(J83,H83-1))</f>
        <v/>
      </c>
      <c r="P83" s="0">
        <f>IF(OR(H83="",I83=""),"",H83-I83)</f>
        <v/>
      </c>
      <c r="Q83" s="0">
        <f>IF(D83="","",IF(I83&gt;H83,"⚠️ Parc. inválida",IF(I83&lt;1,"⚠️ Parc. inválida","✅ Calculado")))</f>
        <v/>
      </c>
    </row>
    <row r="84" ht="18" customHeight="1" s="109">
      <c r="A84" s="64">
        <f>IF(D84="","",ROW()-4)</f>
        <v/>
      </c>
      <c r="B84" s="12" t="n"/>
      <c r="C84" s="98" t="n"/>
      <c r="D84" s="12" t="n"/>
      <c r="E84" s="12" t="n"/>
      <c r="F84" s="90" t="n"/>
      <c r="G84" s="12" t="n"/>
      <c r="H84" s="91" t="n"/>
      <c r="I84" s="91" t="n"/>
      <c r="J84" s="92">
        <f>IF(OR(I84="",H84=""),"",EDATE(DATE(YEAR(IF(C84="",TODAY(),C84)),MONTH(IF(C84="",TODAY(),C84)),1),-(I84-1)))</f>
        <v/>
      </c>
      <c r="K84" s="39">
        <f>IF(OR(F84="",H84=""),"",IF(G84="Parcela mensal",F84,F84/H84))</f>
        <v/>
      </c>
      <c r="L84" s="40">
        <f>IF(OR(F84="",H84=""),"",IF(G84="Parcela mensal",F84*H84,F84))</f>
        <v/>
      </c>
      <c r="M84" s="12" t="n"/>
      <c r="N84" s="12" t="n"/>
      <c r="O84" s="0">
        <f>IF(OR(J84="",H84=""),"",EDATE(J84,H84-1))</f>
        <v/>
      </c>
      <c r="P84" s="0">
        <f>IF(OR(H84="",I84=""),"",H84-I84)</f>
        <v/>
      </c>
      <c r="Q84" s="0">
        <f>IF(D84="","",IF(I84&gt;H84,"⚠️ Parc. inválida",IF(I84&lt;1,"⚠️ Parc. inválida","✅ Calculado")))</f>
        <v/>
      </c>
    </row>
    <row r="85" ht="18" customHeight="1" s="109">
      <c r="A85" s="60">
        <f>IF(D85="","",ROW()-4)</f>
        <v/>
      </c>
      <c r="B85" s="8" t="n"/>
      <c r="C85" s="97" t="n"/>
      <c r="D85" s="8" t="n"/>
      <c r="E85" s="8" t="n"/>
      <c r="F85" s="90" t="n"/>
      <c r="G85" s="8" t="n"/>
      <c r="H85" s="91" t="n"/>
      <c r="I85" s="91" t="n"/>
      <c r="J85" s="92">
        <f>IF(OR(I85="",H85=""),"",EDATE(DATE(YEAR(IF(C85="",TODAY(),C85)),MONTH(IF(C85="",TODAY(),C85)),1),-(I85-1)))</f>
        <v/>
      </c>
      <c r="K85" s="39">
        <f>IF(OR(F85="",H85=""),"",IF(G85="Parcela mensal",F85,F85/H85))</f>
        <v/>
      </c>
      <c r="L85" s="40">
        <f>IF(OR(F85="",H85=""),"",IF(G85="Parcela mensal",F85*H85,F85))</f>
        <v/>
      </c>
      <c r="M85" s="8" t="n"/>
      <c r="N85" s="8" t="n"/>
      <c r="O85" s="0">
        <f>IF(OR(J85="",H85=""),"",EDATE(J85,H85-1))</f>
        <v/>
      </c>
      <c r="P85" s="0">
        <f>IF(OR(H85="",I85=""),"",H85-I85)</f>
        <v/>
      </c>
      <c r="Q85" s="0">
        <f>IF(D85="","",IF(I85&gt;H85,"⚠️ Parc. inválida",IF(I85&lt;1,"⚠️ Parc. inválida","✅ Calculado")))</f>
        <v/>
      </c>
    </row>
    <row r="86" ht="18" customHeight="1" s="109">
      <c r="A86" s="64">
        <f>IF(D86="","",ROW()-4)</f>
        <v/>
      </c>
      <c r="B86" s="12" t="n"/>
      <c r="C86" s="98" t="n"/>
      <c r="D86" s="12" t="n"/>
      <c r="E86" s="12" t="n"/>
      <c r="F86" s="90" t="n"/>
      <c r="G86" s="12" t="n"/>
      <c r="H86" s="91" t="n"/>
      <c r="I86" s="91" t="n"/>
      <c r="J86" s="92">
        <f>IF(OR(I86="",H86=""),"",EDATE(DATE(YEAR(IF(C86="",TODAY(),C86)),MONTH(IF(C86="",TODAY(),C86)),1),-(I86-1)))</f>
        <v/>
      </c>
      <c r="K86" s="39">
        <f>IF(OR(F86="",H86=""),"",IF(G86="Parcela mensal",F86,F86/H86))</f>
        <v/>
      </c>
      <c r="L86" s="40">
        <f>IF(OR(F86="",H86=""),"",IF(G86="Parcela mensal",F86*H86,F86))</f>
        <v/>
      </c>
      <c r="M86" s="12" t="n"/>
      <c r="N86" s="12" t="n"/>
      <c r="O86" s="0">
        <f>IF(OR(J86="",H86=""),"",EDATE(J86,H86-1))</f>
        <v/>
      </c>
      <c r="P86" s="0">
        <f>IF(OR(H86="",I86=""),"",H86-I86)</f>
        <v/>
      </c>
      <c r="Q86" s="0">
        <f>IF(D86="","",IF(I86&gt;H86,"⚠️ Parc. inválida",IF(I86&lt;1,"⚠️ Parc. inválida","✅ Calculado")))</f>
        <v/>
      </c>
    </row>
    <row r="87" ht="18" customHeight="1" s="109">
      <c r="A87" s="60">
        <f>IF(D87="","",ROW()-4)</f>
        <v/>
      </c>
      <c r="B87" s="8" t="n"/>
      <c r="C87" s="97" t="n"/>
      <c r="D87" s="8" t="n"/>
      <c r="E87" s="8" t="n"/>
      <c r="F87" s="90" t="n"/>
      <c r="G87" s="8" t="n"/>
      <c r="H87" s="91" t="n"/>
      <c r="I87" s="91" t="n"/>
      <c r="J87" s="92">
        <f>IF(OR(I87="",H87=""),"",EDATE(DATE(YEAR(IF(C87="",TODAY(),C87)),MONTH(IF(C87="",TODAY(),C87)),1),-(I87-1)))</f>
        <v/>
      </c>
      <c r="K87" s="39">
        <f>IF(OR(F87="",H87=""),"",IF(G87="Parcela mensal",F87,F87/H87))</f>
        <v/>
      </c>
      <c r="L87" s="40">
        <f>IF(OR(F87="",H87=""),"",IF(G87="Parcela mensal",F87*H87,F87))</f>
        <v/>
      </c>
      <c r="M87" s="8" t="n"/>
      <c r="N87" s="8" t="n"/>
      <c r="O87" s="0">
        <f>IF(OR(J87="",H87=""),"",EDATE(J87,H87-1))</f>
        <v/>
      </c>
      <c r="P87" s="0">
        <f>IF(OR(H87="",I87=""),"",H87-I87)</f>
        <v/>
      </c>
      <c r="Q87" s="0">
        <f>IF(D87="","",IF(I87&gt;H87,"⚠️ Parc. inválida",IF(I87&lt;1,"⚠️ Parc. inválida","✅ Calculado")))</f>
        <v/>
      </c>
    </row>
    <row r="88" ht="18" customHeight="1" s="109">
      <c r="A88" s="64">
        <f>IF(D88="","",ROW()-4)</f>
        <v/>
      </c>
      <c r="B88" s="12" t="n"/>
      <c r="C88" s="98" t="n"/>
      <c r="D88" s="12" t="n"/>
      <c r="E88" s="12" t="n"/>
      <c r="F88" s="90" t="n"/>
      <c r="G88" s="12" t="n"/>
      <c r="H88" s="91" t="n"/>
      <c r="I88" s="91" t="n"/>
      <c r="J88" s="92">
        <f>IF(OR(I88="",H88=""),"",EDATE(DATE(YEAR(IF(C88="",TODAY(),C88)),MONTH(IF(C88="",TODAY(),C88)),1),-(I88-1)))</f>
        <v/>
      </c>
      <c r="K88" s="39">
        <f>IF(OR(F88="",H88=""),"",IF(G88="Parcela mensal",F88,F88/H88))</f>
        <v/>
      </c>
      <c r="L88" s="40">
        <f>IF(OR(F88="",H88=""),"",IF(G88="Parcela mensal",F88*H88,F88))</f>
        <v/>
      </c>
      <c r="M88" s="12" t="n"/>
      <c r="N88" s="12" t="n"/>
      <c r="O88" s="0">
        <f>IF(OR(J88="",H88=""),"",EDATE(J88,H88-1))</f>
        <v/>
      </c>
      <c r="P88" s="0">
        <f>IF(OR(H88="",I88=""),"",H88-I88)</f>
        <v/>
      </c>
      <c r="Q88" s="0">
        <f>IF(D88="","",IF(I88&gt;H88,"⚠️ Parc. inválida",IF(I88&lt;1,"⚠️ Parc. inválida","✅ Calculado")))</f>
        <v/>
      </c>
    </row>
    <row r="89" ht="18" customHeight="1" s="109">
      <c r="A89" s="60">
        <f>IF(D89="","",ROW()-4)</f>
        <v/>
      </c>
      <c r="B89" s="8" t="n"/>
      <c r="C89" s="97" t="n"/>
      <c r="D89" s="8" t="n"/>
      <c r="E89" s="8" t="n"/>
      <c r="F89" s="90" t="n"/>
      <c r="G89" s="8" t="n"/>
      <c r="H89" s="91" t="n"/>
      <c r="I89" s="91" t="n"/>
      <c r="J89" s="92">
        <f>IF(OR(I89="",H89=""),"",EDATE(DATE(YEAR(IF(C89="",TODAY(),C89)),MONTH(IF(C89="",TODAY(),C89)),1),-(I89-1)))</f>
        <v/>
      </c>
      <c r="K89" s="39">
        <f>IF(OR(F89="",H89=""),"",IF(G89="Parcela mensal",F89,F89/H89))</f>
        <v/>
      </c>
      <c r="L89" s="40">
        <f>IF(OR(F89="",H89=""),"",IF(G89="Parcela mensal",F89*H89,F89))</f>
        <v/>
      </c>
      <c r="M89" s="8" t="n"/>
      <c r="N89" s="8" t="n"/>
      <c r="O89" s="0">
        <f>IF(OR(J89="",H89=""),"",EDATE(J89,H89-1))</f>
        <v/>
      </c>
      <c r="P89" s="0">
        <f>IF(OR(H89="",I89=""),"",H89-I89)</f>
        <v/>
      </c>
      <c r="Q89" s="0">
        <f>IF(D89="","",IF(I89&gt;H89,"⚠️ Parc. inválida",IF(I89&lt;1,"⚠️ Parc. inválida","✅ Calculado")))</f>
        <v/>
      </c>
    </row>
    <row r="90" ht="18" customHeight="1" s="109">
      <c r="A90" s="64">
        <f>IF(D90="","",ROW()-4)</f>
        <v/>
      </c>
      <c r="B90" s="12" t="n"/>
      <c r="C90" s="98" t="n"/>
      <c r="D90" s="12" t="n"/>
      <c r="E90" s="12" t="n"/>
      <c r="F90" s="90" t="n"/>
      <c r="G90" s="12" t="n"/>
      <c r="H90" s="91" t="n"/>
      <c r="I90" s="91" t="n"/>
      <c r="J90" s="92">
        <f>IF(OR(I90="",H90=""),"",EDATE(DATE(YEAR(IF(C90="",TODAY(),C90)),MONTH(IF(C90="",TODAY(),C90)),1),-(I90-1)))</f>
        <v/>
      </c>
      <c r="K90" s="39">
        <f>IF(OR(F90="",H90=""),"",IF(G90="Parcela mensal",F90,F90/H90))</f>
        <v/>
      </c>
      <c r="L90" s="40">
        <f>IF(OR(F90="",H90=""),"",IF(G90="Parcela mensal",F90*H90,F90))</f>
        <v/>
      </c>
      <c r="M90" s="12" t="n"/>
      <c r="N90" s="12" t="n"/>
      <c r="O90" s="0">
        <f>IF(OR(J90="",H90=""),"",EDATE(J90,H90-1))</f>
        <v/>
      </c>
      <c r="P90" s="0">
        <f>IF(OR(H90="",I90=""),"",H90-I90)</f>
        <v/>
      </c>
      <c r="Q90" s="0">
        <f>IF(D90="","",IF(I90&gt;H90,"⚠️ Parc. inválida",IF(I90&lt;1,"⚠️ Parc. inválida","✅ Calculado")))</f>
        <v/>
      </c>
    </row>
    <row r="91" ht="18" customHeight="1" s="109">
      <c r="A91" s="60">
        <f>IF(D91="","",ROW()-4)</f>
        <v/>
      </c>
      <c r="B91" s="8" t="n"/>
      <c r="C91" s="97" t="n"/>
      <c r="D91" s="8" t="n"/>
      <c r="E91" s="8" t="n"/>
      <c r="F91" s="90" t="n"/>
      <c r="G91" s="8" t="n"/>
      <c r="H91" s="91" t="n"/>
      <c r="I91" s="91" t="n"/>
      <c r="J91" s="92">
        <f>IF(OR(I91="",H91=""),"",EDATE(DATE(YEAR(IF(C91="",TODAY(),C91)),MONTH(IF(C91="",TODAY(),C91)),1),-(I91-1)))</f>
        <v/>
      </c>
      <c r="K91" s="39">
        <f>IF(OR(F91="",H91=""),"",IF(G91="Parcela mensal",F91,F91/H91))</f>
        <v/>
      </c>
      <c r="L91" s="40">
        <f>IF(OR(F91="",H91=""),"",IF(G91="Parcela mensal",F91*H91,F91))</f>
        <v/>
      </c>
      <c r="M91" s="8" t="n"/>
      <c r="N91" s="8" t="n"/>
      <c r="O91" s="0">
        <f>IF(OR(J91="",H91=""),"",EDATE(J91,H91-1))</f>
        <v/>
      </c>
      <c r="P91" s="0">
        <f>IF(OR(H91="",I91=""),"",H91-I91)</f>
        <v/>
      </c>
      <c r="Q91" s="0">
        <f>IF(D91="","",IF(I91&gt;H91,"⚠️ Parc. inválida",IF(I91&lt;1,"⚠️ Parc. inválida","✅ Calculado")))</f>
        <v/>
      </c>
    </row>
    <row r="92" ht="18" customHeight="1" s="109">
      <c r="A92" s="64">
        <f>IF(D92="","",ROW()-4)</f>
        <v/>
      </c>
      <c r="B92" s="12" t="n"/>
      <c r="C92" s="98" t="n"/>
      <c r="D92" s="12" t="n"/>
      <c r="E92" s="12" t="n"/>
      <c r="F92" s="90" t="n"/>
      <c r="G92" s="12" t="n"/>
      <c r="H92" s="91" t="n"/>
      <c r="I92" s="91" t="n"/>
      <c r="J92" s="92">
        <f>IF(OR(I92="",H92=""),"",EDATE(DATE(YEAR(IF(C92="",TODAY(),C92)),MONTH(IF(C92="",TODAY(),C92)),1),-(I92-1)))</f>
        <v/>
      </c>
      <c r="K92" s="39">
        <f>IF(OR(F92="",H92=""),"",IF(G92="Parcela mensal",F92,F92/H92))</f>
        <v/>
      </c>
      <c r="L92" s="40">
        <f>IF(OR(F92="",H92=""),"",IF(G92="Parcela mensal",F92*H92,F92))</f>
        <v/>
      </c>
      <c r="M92" s="12" t="n"/>
      <c r="N92" s="12" t="n"/>
      <c r="O92" s="0">
        <f>IF(OR(J92="",H92=""),"",EDATE(J92,H92-1))</f>
        <v/>
      </c>
      <c r="P92" s="0">
        <f>IF(OR(H92="",I92=""),"",H92-I92)</f>
        <v/>
      </c>
      <c r="Q92" s="0">
        <f>IF(D92="","",IF(I92&gt;H92,"⚠️ Parc. inválida",IF(I92&lt;1,"⚠️ Parc. inválida","✅ Calculado")))</f>
        <v/>
      </c>
    </row>
    <row r="93" ht="18" customHeight="1" s="109">
      <c r="A93" s="60">
        <f>IF(D93="","",ROW()-4)</f>
        <v/>
      </c>
      <c r="B93" s="8" t="n"/>
      <c r="C93" s="97" t="n"/>
      <c r="D93" s="8" t="n"/>
      <c r="E93" s="8" t="n"/>
      <c r="F93" s="90" t="n"/>
      <c r="G93" s="8" t="n"/>
      <c r="H93" s="91" t="n"/>
      <c r="I93" s="91" t="n"/>
      <c r="J93" s="92">
        <f>IF(OR(I93="",H93=""),"",EDATE(DATE(YEAR(IF(C93="",TODAY(),C93)),MONTH(IF(C93="",TODAY(),C93)),1),-(I93-1)))</f>
        <v/>
      </c>
      <c r="K93" s="39">
        <f>IF(OR(F93="",H93=""),"",IF(G93="Parcela mensal",F93,F93/H93))</f>
        <v/>
      </c>
      <c r="L93" s="40">
        <f>IF(OR(F93="",H93=""),"",IF(G93="Parcela mensal",F93*H93,F93))</f>
        <v/>
      </c>
      <c r="M93" s="8" t="n"/>
      <c r="N93" s="8" t="n"/>
      <c r="O93" s="0">
        <f>IF(OR(J93="",H93=""),"",EDATE(J93,H93-1))</f>
        <v/>
      </c>
      <c r="P93" s="0">
        <f>IF(OR(H93="",I93=""),"",H93-I93)</f>
        <v/>
      </c>
      <c r="Q93" s="0">
        <f>IF(D93="","",IF(I93&gt;H93,"⚠️ Parc. inválida",IF(I93&lt;1,"⚠️ Parc. inválida","✅ Calculado")))</f>
        <v/>
      </c>
    </row>
    <row r="94" ht="18" customHeight="1" s="109">
      <c r="A94" s="64">
        <f>IF(D94="","",ROW()-4)</f>
        <v/>
      </c>
      <c r="B94" s="12" t="n"/>
      <c r="C94" s="98" t="n"/>
      <c r="D94" s="12" t="n"/>
      <c r="E94" s="12" t="n"/>
      <c r="F94" s="90" t="n"/>
      <c r="G94" s="12" t="n"/>
      <c r="H94" s="91" t="n"/>
      <c r="I94" s="91" t="n"/>
      <c r="J94" s="92">
        <f>IF(OR(I94="",H94=""),"",EDATE(DATE(YEAR(IF(C94="",TODAY(),C94)),MONTH(IF(C94="",TODAY(),C94)),1),-(I94-1)))</f>
        <v/>
      </c>
      <c r="K94" s="39">
        <f>IF(OR(F94="",H94=""),"",IF(G94="Parcela mensal",F94,F94/H94))</f>
        <v/>
      </c>
      <c r="L94" s="40">
        <f>IF(OR(F94="",H94=""),"",IF(G94="Parcela mensal",F94*H94,F94))</f>
        <v/>
      </c>
      <c r="M94" s="12" t="n"/>
      <c r="N94" s="12" t="n"/>
      <c r="O94" s="0">
        <f>IF(OR(J94="",H94=""),"",EDATE(J94,H94-1))</f>
        <v/>
      </c>
      <c r="P94" s="0">
        <f>IF(OR(H94="",I94=""),"",H94-I94)</f>
        <v/>
      </c>
      <c r="Q94" s="0">
        <f>IF(D94="","",IF(I94&gt;H94,"⚠️ Parc. inválida",IF(I94&lt;1,"⚠️ Parc. inválida","✅ Calculado")))</f>
        <v/>
      </c>
    </row>
    <row r="95" ht="18" customHeight="1" s="109">
      <c r="A95" s="60">
        <f>IF(D95="","",ROW()-4)</f>
        <v/>
      </c>
      <c r="B95" s="8" t="n"/>
      <c r="C95" s="97" t="n"/>
      <c r="D95" s="8" t="n"/>
      <c r="E95" s="8" t="n"/>
      <c r="F95" s="90" t="n"/>
      <c r="G95" s="8" t="n"/>
      <c r="H95" s="91" t="n"/>
      <c r="I95" s="91" t="n"/>
      <c r="J95" s="92">
        <f>IF(OR(I95="",H95=""),"",EDATE(DATE(YEAR(IF(C95="",TODAY(),C95)),MONTH(IF(C95="",TODAY(),C95)),1),-(I95-1)))</f>
        <v/>
      </c>
      <c r="K95" s="39">
        <f>IF(OR(F95="",H95=""),"",IF(G95="Parcela mensal",F95,F95/H95))</f>
        <v/>
      </c>
      <c r="L95" s="40">
        <f>IF(OR(F95="",H95=""),"",IF(G95="Parcela mensal",F95*H95,F95))</f>
        <v/>
      </c>
      <c r="M95" s="8" t="n"/>
      <c r="N95" s="8" t="n"/>
      <c r="O95" s="0">
        <f>IF(OR(J95="",H95=""),"",EDATE(J95,H95-1))</f>
        <v/>
      </c>
      <c r="P95" s="0">
        <f>IF(OR(H95="",I95=""),"",H95-I95)</f>
        <v/>
      </c>
      <c r="Q95" s="0">
        <f>IF(D95="","",IF(I95&gt;H95,"⚠️ Parc. inválida",IF(I95&lt;1,"⚠️ Parc. inválida","✅ Calculado")))</f>
        <v/>
      </c>
    </row>
    <row r="96" ht="18" customHeight="1" s="109">
      <c r="A96" s="64">
        <f>IF(D96="","",ROW()-4)</f>
        <v/>
      </c>
      <c r="B96" s="12" t="n"/>
      <c r="C96" s="98" t="n"/>
      <c r="D96" s="12" t="n"/>
      <c r="E96" s="12" t="n"/>
      <c r="F96" s="90" t="n"/>
      <c r="G96" s="12" t="n"/>
      <c r="H96" s="91" t="n"/>
      <c r="I96" s="91" t="n"/>
      <c r="J96" s="92">
        <f>IF(OR(I96="",H96=""),"",EDATE(DATE(YEAR(IF(C96="",TODAY(),C96)),MONTH(IF(C96="",TODAY(),C96)),1),-(I96-1)))</f>
        <v/>
      </c>
      <c r="K96" s="39">
        <f>IF(OR(F96="",H96=""),"",IF(G96="Parcela mensal",F96,F96/H96))</f>
        <v/>
      </c>
      <c r="L96" s="40">
        <f>IF(OR(F96="",H96=""),"",IF(G96="Parcela mensal",F96*H96,F96))</f>
        <v/>
      </c>
      <c r="M96" s="12" t="n"/>
      <c r="N96" s="12" t="n"/>
      <c r="O96" s="0">
        <f>IF(OR(J96="",H96=""),"",EDATE(J96,H96-1))</f>
        <v/>
      </c>
      <c r="P96" s="0">
        <f>IF(OR(H96="",I96=""),"",H96-I96)</f>
        <v/>
      </c>
      <c r="Q96" s="0">
        <f>IF(D96="","",IF(I96&gt;H96,"⚠️ Parc. inválida",IF(I96&lt;1,"⚠️ Parc. inválida","✅ Calculado")))</f>
        <v/>
      </c>
    </row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N3"/>
    <mergeCell ref="A2:N2"/>
    <mergeCell ref="A1:N1"/>
  </mergeCells>
  <dataValidations count="3">
    <dataValidation sqref="B5:B96" showDropDown="0" showInputMessage="0" showErrorMessage="0" allowBlank="1" type="list">
      <formula1>"Cartão fixo,TikTok,Shopee,Compra digitada,Mercado Livre,Outro"</formula1>
    </dataValidation>
    <dataValidation sqref="G5:G96" showDropDown="0" showInputMessage="0" showErrorMessage="0" allowBlank="1" type="list">
      <formula1>"Total da compra,Parcela mensal"</formula1>
    </dataValidation>
    <dataValidation sqref="M5:M96" showDropDown="0" showInputMessage="0" showErrorMessage="0" allowBlank="1" type="list">
      <formula1>"OK,Conferir,Pago,Cancelado,Revisar"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109" min="1" max="1"/>
    <col width="25.29" customWidth="1" style="109" min="2" max="2"/>
    <col width="21.14" customWidth="1" style="109" min="3" max="3"/>
    <col width="23.43" customWidth="1" style="109" min="4" max="4"/>
    <col width="17.57" customWidth="1" style="109" min="5" max="5"/>
    <col width="19.57" customWidth="1" style="109" min="6" max="6"/>
    <col width="16" customWidth="1" style="109" min="7" max="7"/>
    <col width="8.710000000000001" customWidth="1" style="109" min="8" max="26"/>
  </cols>
  <sheetData>
    <row r="1" ht="30" customHeight="1" s="109">
      <c r="A1" s="119" t="inlineStr">
        <is>
          <t>Taldo Studio 3D  ·  Projeção Mensal de Parcelas — 24 meses  ·  v7.2</t>
        </is>
      </c>
    </row>
    <row r="2" ht="7.5" customHeight="1" s="109">
      <c r="A2" s="111" t="n"/>
    </row>
    <row r="3" ht="15.75" customHeight="1" s="109">
      <c r="A3" s="120" t="inlineStr">
        <is>
          <t>Período: 24 meses  |  Baseado na coluna "Início da Compra" de 💳 Lançamentos</t>
        </is>
      </c>
    </row>
    <row r="4" ht="21.75" customHeight="1" s="109">
      <c r="A4" s="7" t="inlineStr">
        <is>
          <t>Mês</t>
        </is>
      </c>
      <c r="B4" s="30" t="inlineStr">
        <is>
          <t>Total do Mês</t>
        </is>
      </c>
      <c r="C4" s="7" t="inlineStr">
        <is>
          <t>Cartão Fixo</t>
        </is>
      </c>
      <c r="D4" s="7" t="inlineStr">
        <is>
          <t>TikTok</t>
        </is>
      </c>
      <c r="E4" s="7" t="inlineStr">
        <is>
          <t>Shopee</t>
        </is>
      </c>
      <c r="F4" s="7" t="inlineStr">
        <is>
          <t>Compra Digitada</t>
        </is>
      </c>
      <c r="G4" s="7" t="inlineStr">
        <is>
          <t>Outros</t>
        </is>
      </c>
    </row>
    <row r="5" ht="19.5" customHeight="1" s="109">
      <c r="A5" s="100" t="n">
        <v>46054</v>
      </c>
      <c r="B5" s="63">
        <f>SUMPRODUCT(('💳 Lançamentos'!J5:J96&lt;=A5)*(EDATE('💳 Lançamentos'!J5:J96,'💳 Lançamentos'!H5:H96)&gt;A5)*('💳 Lançamentos'!M5:M96&lt;&gt;"Cancelado")*'💳 Lançamentos'!K5:K96)</f>
        <v/>
      </c>
      <c r="C5" s="101">
        <f>SUMPRODUCT(('💳 Lançamentos'!J5:J96&lt;=A5)*(EDATE('💳 Lançamentos'!J5:J96,'💳 Lançamentos'!H5:H96)&gt;A5)*('💳 Lançamentos'!M5:M96&lt;&gt;"Cancelado")*('💳 Lançamentos'!B5:B96="Cartão fixo")*'💳 Lançamentos'!K5:K96)</f>
        <v/>
      </c>
      <c r="D5" s="101">
        <f>SUMPRODUCT(('💳 Lançamentos'!J5:J96&lt;=A5)*(EDATE('💳 Lançamentos'!J5:J96,'💳 Lançamentos'!H5:H96)&gt;A5)*('💳 Lançamentos'!M5:M96&lt;&gt;"Cancelado")*('💳 Lançamentos'!B5:B96="TikTok")*'💳 Lançamentos'!K5:K96)</f>
        <v/>
      </c>
      <c r="E5" s="101">
        <f>SUMPRODUCT(('💳 Lançamentos'!J5:J96&lt;=A5)*(EDATE('💳 Lançamentos'!J5:J96,'💳 Lançamentos'!H5:H96)&gt;A5)*('💳 Lançamentos'!M5:M96&lt;&gt;"Cancelado")*('💳 Lançamentos'!B5:B96="Shopee")*'💳 Lançamentos'!K5:K96)</f>
        <v/>
      </c>
      <c r="F5" s="101">
        <f>SUMPRODUCT(('💳 Lançamentos'!J5:J96&lt;=A5)*(EDATE('💳 Lançamentos'!J5:J96,'💳 Lançamentos'!H5:H96)&gt;A5)*('💳 Lançamentos'!M5:M96&lt;&gt;"Cancelado")*('💳 Lançamentos'!B5:B96="Compra digitada")*'💳 Lançamentos'!K5:K96)</f>
        <v/>
      </c>
      <c r="G5" s="101">
        <f>B5-SUM(C5:F5)</f>
        <v/>
      </c>
    </row>
    <row r="6" ht="19.5" customHeight="1" s="109">
      <c r="A6" s="102" t="n">
        <v>46082</v>
      </c>
      <c r="B6" s="63">
        <f>SUMPRODUCT(('💳 Lançamentos'!J5:J96&lt;=A6)*(EDATE('💳 Lançamentos'!J5:J96,'💳 Lançamentos'!H5:H96)&gt;A6)*('💳 Lançamentos'!M5:M96&lt;&gt;"Cancelado")*'💳 Lançamentos'!K5:K96)</f>
        <v/>
      </c>
      <c r="C6" s="103">
        <f>SUMPRODUCT(('💳 Lançamentos'!J5:J96&lt;=A6)*(EDATE('💳 Lançamentos'!J5:J96,'💳 Lançamentos'!H5:H96)&gt;A6)*('💳 Lançamentos'!M5:M96&lt;&gt;"Cancelado")*('💳 Lançamentos'!B5:B96="Cartão fixo")*'💳 Lançamentos'!K5:K96)</f>
        <v/>
      </c>
      <c r="D6" s="103">
        <f>SUMPRODUCT(('💳 Lançamentos'!J5:J96&lt;=A6)*(EDATE('💳 Lançamentos'!J5:J96,'💳 Lançamentos'!H5:H96)&gt;A6)*('💳 Lançamentos'!M5:M96&lt;&gt;"Cancelado")*('💳 Lançamentos'!B5:B96="TikTok")*'💳 Lançamentos'!K5:K96)</f>
        <v/>
      </c>
      <c r="E6" s="103">
        <f>SUMPRODUCT(('💳 Lançamentos'!J5:J96&lt;=A6)*(EDATE('💳 Lançamentos'!J5:J96,'💳 Lançamentos'!H5:H96)&gt;A6)*('💳 Lançamentos'!M5:M96&lt;&gt;"Cancelado")*('💳 Lançamentos'!B5:B96="Shopee")*'💳 Lançamentos'!K5:K96)</f>
        <v/>
      </c>
      <c r="F6" s="103">
        <f>SUMPRODUCT(('💳 Lançamentos'!J5:J96&lt;=A6)*(EDATE('💳 Lançamentos'!J5:J96,'💳 Lançamentos'!H5:H96)&gt;A6)*('💳 Lançamentos'!M5:M96&lt;&gt;"Cancelado")*('💳 Lançamentos'!B5:B96="Compra digitada")*'💳 Lançamentos'!K5:K96)</f>
        <v/>
      </c>
      <c r="G6" s="103">
        <f>B6-SUM(C6:F6)</f>
        <v/>
      </c>
    </row>
    <row r="7" ht="19.5" customHeight="1" s="109">
      <c r="A7" s="100" t="n">
        <v>46113</v>
      </c>
      <c r="B7" s="63">
        <f>SUMPRODUCT(('💳 Lançamentos'!J5:J96&lt;=A7)*(EDATE('💳 Lançamentos'!J5:J96,'💳 Lançamentos'!H5:H96)&gt;A7)*('💳 Lançamentos'!M5:M96&lt;&gt;"Cancelado")*'💳 Lançamentos'!K5:K96)</f>
        <v/>
      </c>
      <c r="C7" s="101">
        <f>SUMPRODUCT(('💳 Lançamentos'!J5:J96&lt;=A7)*(EDATE('💳 Lançamentos'!J5:J96,'💳 Lançamentos'!H5:H96)&gt;A7)*('💳 Lançamentos'!M5:M96&lt;&gt;"Cancelado")*('💳 Lançamentos'!B5:B96="Cartão fixo")*'💳 Lançamentos'!K5:K96)</f>
        <v/>
      </c>
      <c r="D7" s="101">
        <f>SUMPRODUCT(('💳 Lançamentos'!J5:J96&lt;=A7)*(EDATE('💳 Lançamentos'!J5:J96,'💳 Lançamentos'!H5:H96)&gt;A7)*('💳 Lançamentos'!M5:M96&lt;&gt;"Cancelado")*('💳 Lançamentos'!B5:B96="TikTok")*'💳 Lançamentos'!K5:K96)</f>
        <v/>
      </c>
      <c r="E7" s="101">
        <f>SUMPRODUCT(('💳 Lançamentos'!J5:J96&lt;=A7)*(EDATE('💳 Lançamentos'!J5:J96,'💳 Lançamentos'!H5:H96)&gt;A7)*('💳 Lançamentos'!M5:M96&lt;&gt;"Cancelado")*('💳 Lançamentos'!B5:B96="Shopee")*'💳 Lançamentos'!K5:K96)</f>
        <v/>
      </c>
      <c r="F7" s="101">
        <f>SUMPRODUCT(('💳 Lançamentos'!J5:J96&lt;=A7)*(EDATE('💳 Lançamentos'!J5:J96,'💳 Lançamentos'!H5:H96)&gt;A7)*('💳 Lançamentos'!M5:M96&lt;&gt;"Cancelado")*('💳 Lançamentos'!B5:B96="Compra digitada")*'💳 Lançamentos'!K5:K96)</f>
        <v/>
      </c>
      <c r="G7" s="101">
        <f>B7-SUM(C7:F7)</f>
        <v/>
      </c>
    </row>
    <row r="8" ht="19.5" customHeight="1" s="109">
      <c r="A8" s="102" t="n">
        <v>46143</v>
      </c>
      <c r="B8" s="63">
        <f>SUMPRODUCT(('💳 Lançamentos'!J5:J96&lt;=A8)*(EDATE('💳 Lançamentos'!J5:J96,'💳 Lançamentos'!H5:H96)&gt;A8)*('💳 Lançamentos'!M5:M96&lt;&gt;"Cancelado")*'💳 Lançamentos'!K5:K96)</f>
        <v/>
      </c>
      <c r="C8" s="103">
        <f>SUMPRODUCT(('💳 Lançamentos'!J5:J96&lt;=A8)*(EDATE('💳 Lançamentos'!J5:J96,'💳 Lançamentos'!H5:H96)&gt;A8)*('💳 Lançamentos'!M5:M96&lt;&gt;"Cancelado")*('💳 Lançamentos'!B5:B96="Cartão fixo")*'💳 Lançamentos'!K5:K96)</f>
        <v/>
      </c>
      <c r="D8" s="103">
        <f>SUMPRODUCT(('💳 Lançamentos'!J5:J96&lt;=A8)*(EDATE('💳 Lançamentos'!J5:J96,'💳 Lançamentos'!H5:H96)&gt;A8)*('💳 Lançamentos'!M5:M96&lt;&gt;"Cancelado")*('💳 Lançamentos'!B5:B96="TikTok")*'💳 Lançamentos'!K5:K96)</f>
        <v/>
      </c>
      <c r="E8" s="103">
        <f>SUMPRODUCT(('💳 Lançamentos'!J5:J96&lt;=A8)*(EDATE('💳 Lançamentos'!J5:J96,'💳 Lançamentos'!H5:H96)&gt;A8)*('💳 Lançamentos'!M5:M96&lt;&gt;"Cancelado")*('💳 Lançamentos'!B5:B96="Shopee")*'💳 Lançamentos'!K5:K96)</f>
        <v/>
      </c>
      <c r="F8" s="103">
        <f>SUMPRODUCT(('💳 Lançamentos'!J5:J96&lt;=A8)*(EDATE('💳 Lançamentos'!J5:J96,'💳 Lançamentos'!H5:H96)&gt;A8)*('💳 Lançamentos'!M5:M96&lt;&gt;"Cancelado")*('💳 Lançamentos'!B5:B96="Compra digitada")*'💳 Lançamentos'!K5:K96)</f>
        <v/>
      </c>
      <c r="G8" s="103">
        <f>B8-SUM(C8:F8)</f>
        <v/>
      </c>
    </row>
    <row r="9" ht="19.5" customHeight="1" s="109">
      <c r="A9" s="100" t="n">
        <v>46174</v>
      </c>
      <c r="B9" s="63">
        <f>SUMPRODUCT(('💳 Lançamentos'!J5:J96&lt;=A9)*(EDATE('💳 Lançamentos'!J5:J96,'💳 Lançamentos'!H5:H96)&gt;A9)*('💳 Lançamentos'!M5:M96&lt;&gt;"Cancelado")*'💳 Lançamentos'!K5:K96)</f>
        <v/>
      </c>
      <c r="C9" s="101">
        <f>SUMPRODUCT(('💳 Lançamentos'!J5:J96&lt;=A9)*(EDATE('💳 Lançamentos'!J5:J96,'💳 Lançamentos'!H5:H96)&gt;A9)*('💳 Lançamentos'!M5:M96&lt;&gt;"Cancelado")*('💳 Lançamentos'!B5:B96="Cartão fixo")*'💳 Lançamentos'!K5:K96)</f>
        <v/>
      </c>
      <c r="D9" s="101">
        <f>SUMPRODUCT(('💳 Lançamentos'!J5:J96&lt;=A9)*(EDATE('💳 Lançamentos'!J5:J96,'💳 Lançamentos'!H5:H96)&gt;A9)*('💳 Lançamentos'!M5:M96&lt;&gt;"Cancelado")*('💳 Lançamentos'!B5:B96="TikTok")*'💳 Lançamentos'!K5:K96)</f>
        <v/>
      </c>
      <c r="E9" s="101">
        <f>SUMPRODUCT(('💳 Lançamentos'!J5:J96&lt;=A9)*(EDATE('💳 Lançamentos'!J5:J96,'💳 Lançamentos'!H5:H96)&gt;A9)*('💳 Lançamentos'!M5:M96&lt;&gt;"Cancelado")*('💳 Lançamentos'!B5:B96="Shopee")*'💳 Lançamentos'!K5:K96)</f>
        <v/>
      </c>
      <c r="F9" s="101">
        <f>SUMPRODUCT(('💳 Lançamentos'!J5:J96&lt;=A9)*(EDATE('💳 Lançamentos'!J5:J96,'💳 Lançamentos'!H5:H96)&gt;A9)*('💳 Lançamentos'!M5:M96&lt;&gt;"Cancelado")*('💳 Lançamentos'!B5:B96="Compra digitada")*'💳 Lançamentos'!K5:K96)</f>
        <v/>
      </c>
      <c r="G9" s="101">
        <f>B9-SUM(C9:F9)</f>
        <v/>
      </c>
    </row>
    <row r="10" ht="19.5" customHeight="1" s="109">
      <c r="A10" s="102" t="n">
        <v>46204</v>
      </c>
      <c r="B10" s="63">
        <f>SUMPRODUCT(('💳 Lançamentos'!J5:J96&lt;=A10)*(EDATE('💳 Lançamentos'!J5:J96,'💳 Lançamentos'!H5:H96)&gt;A10)*('💳 Lançamentos'!M5:M96&lt;&gt;"Cancelado")*'💳 Lançamentos'!K5:K96)</f>
        <v/>
      </c>
      <c r="C10" s="103">
        <f>SUMPRODUCT(('💳 Lançamentos'!J5:J96&lt;=A10)*(EDATE('💳 Lançamentos'!J5:J96,'💳 Lançamentos'!H5:H96)&gt;A10)*('💳 Lançamentos'!M5:M96&lt;&gt;"Cancelado")*('💳 Lançamentos'!B5:B96="Cartão fixo")*'💳 Lançamentos'!K5:K96)</f>
        <v/>
      </c>
      <c r="D10" s="103">
        <f>SUMPRODUCT(('💳 Lançamentos'!J5:J96&lt;=A10)*(EDATE('💳 Lançamentos'!J5:J96,'💳 Lançamentos'!H5:H96)&gt;A10)*('💳 Lançamentos'!M5:M96&lt;&gt;"Cancelado")*('💳 Lançamentos'!B5:B96="TikTok")*'💳 Lançamentos'!K5:K96)</f>
        <v/>
      </c>
      <c r="E10" s="103">
        <f>SUMPRODUCT(('💳 Lançamentos'!J5:J96&lt;=A10)*(EDATE('💳 Lançamentos'!J5:J96,'💳 Lançamentos'!H5:H96)&gt;A10)*('💳 Lançamentos'!M5:M96&lt;&gt;"Cancelado")*('💳 Lançamentos'!B5:B96="Shopee")*'💳 Lançamentos'!K5:K96)</f>
        <v/>
      </c>
      <c r="F10" s="103">
        <f>SUMPRODUCT(('💳 Lançamentos'!J5:J96&lt;=A10)*(EDATE('💳 Lançamentos'!J5:J96,'💳 Lançamentos'!H5:H96)&gt;A10)*('💳 Lançamentos'!M5:M96&lt;&gt;"Cancelado")*('💳 Lançamentos'!B5:B96="Compra digitada")*'💳 Lançamentos'!K5:K96)</f>
        <v/>
      </c>
      <c r="G10" s="103">
        <f>B10-SUM(C10:F10)</f>
        <v/>
      </c>
    </row>
    <row r="11" ht="19.5" customHeight="1" s="109">
      <c r="A11" s="100" t="n">
        <v>46235</v>
      </c>
      <c r="B11" s="63">
        <f>SUMPRODUCT(('💳 Lançamentos'!J5:J96&lt;=A11)*(EDATE('💳 Lançamentos'!J5:J96,'💳 Lançamentos'!H5:H96)&gt;A11)*('💳 Lançamentos'!M5:M96&lt;&gt;"Cancelado")*'💳 Lançamentos'!K5:K96)</f>
        <v/>
      </c>
      <c r="C11" s="101">
        <f>SUMPRODUCT(('💳 Lançamentos'!J5:J96&lt;=A11)*(EDATE('💳 Lançamentos'!J5:J96,'💳 Lançamentos'!H5:H96)&gt;A11)*('💳 Lançamentos'!M5:M96&lt;&gt;"Cancelado")*('💳 Lançamentos'!B5:B96="Cartão fixo")*'💳 Lançamentos'!K5:K96)</f>
        <v/>
      </c>
      <c r="D11" s="101">
        <f>SUMPRODUCT(('💳 Lançamentos'!J5:J96&lt;=A11)*(EDATE('💳 Lançamentos'!J5:J96,'💳 Lançamentos'!H5:H96)&gt;A11)*('💳 Lançamentos'!M5:M96&lt;&gt;"Cancelado")*('💳 Lançamentos'!B5:B96="TikTok")*'💳 Lançamentos'!K5:K96)</f>
        <v/>
      </c>
      <c r="E11" s="101">
        <f>SUMPRODUCT(('💳 Lançamentos'!J5:J96&lt;=A11)*(EDATE('💳 Lançamentos'!J5:J96,'💳 Lançamentos'!H5:H96)&gt;A11)*('💳 Lançamentos'!M5:M96&lt;&gt;"Cancelado")*('💳 Lançamentos'!B5:B96="Shopee")*'💳 Lançamentos'!K5:K96)</f>
        <v/>
      </c>
      <c r="F11" s="101">
        <f>SUMPRODUCT(('💳 Lançamentos'!J5:J96&lt;=A11)*(EDATE('💳 Lançamentos'!J5:J96,'💳 Lançamentos'!H5:H96)&gt;A11)*('💳 Lançamentos'!M5:M96&lt;&gt;"Cancelado")*('💳 Lançamentos'!B5:B96="Compra digitada")*'💳 Lançamentos'!K5:K96)</f>
        <v/>
      </c>
      <c r="G11" s="101">
        <f>B11-SUM(C11:F11)</f>
        <v/>
      </c>
    </row>
    <row r="12" ht="19.5" customHeight="1" s="109">
      <c r="A12" s="102" t="n">
        <v>46266</v>
      </c>
      <c r="B12" s="63">
        <f>SUMPRODUCT(('💳 Lançamentos'!J5:J96&lt;=A12)*(EDATE('💳 Lançamentos'!J5:J96,'💳 Lançamentos'!H5:H96)&gt;A12)*('💳 Lançamentos'!M5:M96&lt;&gt;"Cancelado")*'💳 Lançamentos'!K5:K96)</f>
        <v/>
      </c>
      <c r="C12" s="103">
        <f>SUMPRODUCT(('💳 Lançamentos'!J5:J96&lt;=A12)*(EDATE('💳 Lançamentos'!J5:J96,'💳 Lançamentos'!H5:H96)&gt;A12)*('💳 Lançamentos'!M5:M96&lt;&gt;"Cancelado")*('💳 Lançamentos'!B5:B96="Cartão fixo")*'💳 Lançamentos'!K5:K96)</f>
        <v/>
      </c>
      <c r="D12" s="103">
        <f>SUMPRODUCT(('💳 Lançamentos'!J5:J96&lt;=A12)*(EDATE('💳 Lançamentos'!J5:J96,'💳 Lançamentos'!H5:H96)&gt;A12)*('💳 Lançamentos'!M5:M96&lt;&gt;"Cancelado")*('💳 Lançamentos'!B5:B96="TikTok")*'💳 Lançamentos'!K5:K96)</f>
        <v/>
      </c>
      <c r="E12" s="103">
        <f>SUMPRODUCT(('💳 Lançamentos'!J5:J96&lt;=A12)*(EDATE('💳 Lançamentos'!J5:J96,'💳 Lançamentos'!H5:H96)&gt;A12)*('💳 Lançamentos'!M5:M96&lt;&gt;"Cancelado")*('💳 Lançamentos'!B5:B96="Shopee")*'💳 Lançamentos'!K5:K96)</f>
        <v/>
      </c>
      <c r="F12" s="103">
        <f>SUMPRODUCT(('💳 Lançamentos'!J5:J96&lt;=A12)*(EDATE('💳 Lançamentos'!J5:J96,'💳 Lançamentos'!H5:H96)&gt;A12)*('💳 Lançamentos'!M5:M96&lt;&gt;"Cancelado")*('💳 Lançamentos'!B5:B96="Compra digitada")*'💳 Lançamentos'!K5:K96)</f>
        <v/>
      </c>
      <c r="G12" s="103">
        <f>B12-SUM(C12:F12)</f>
        <v/>
      </c>
    </row>
    <row r="13" ht="19.5" customHeight="1" s="109">
      <c r="A13" s="100" t="n">
        <v>46296</v>
      </c>
      <c r="B13" s="63">
        <f>SUMPRODUCT(('💳 Lançamentos'!J5:J96&lt;=A13)*(EDATE('💳 Lançamentos'!J5:J96,'💳 Lançamentos'!H5:H96)&gt;A13)*('💳 Lançamentos'!M5:M96&lt;&gt;"Cancelado")*'💳 Lançamentos'!K5:K96)</f>
        <v/>
      </c>
      <c r="C13" s="101">
        <f>SUMPRODUCT(('💳 Lançamentos'!J5:J96&lt;=A13)*(EDATE('💳 Lançamentos'!J5:J96,'💳 Lançamentos'!H5:H96)&gt;A13)*('💳 Lançamentos'!M5:M96&lt;&gt;"Cancelado")*('💳 Lançamentos'!B5:B96="Cartão fixo")*'💳 Lançamentos'!K5:K96)</f>
        <v/>
      </c>
      <c r="D13" s="101">
        <f>SUMPRODUCT(('💳 Lançamentos'!J5:J96&lt;=A13)*(EDATE('💳 Lançamentos'!J5:J96,'💳 Lançamentos'!H5:H96)&gt;A13)*('💳 Lançamentos'!M5:M96&lt;&gt;"Cancelado")*('💳 Lançamentos'!B5:B96="TikTok")*'💳 Lançamentos'!K5:K96)</f>
        <v/>
      </c>
      <c r="E13" s="101">
        <f>SUMPRODUCT(('💳 Lançamentos'!J5:J96&lt;=A13)*(EDATE('💳 Lançamentos'!J5:J96,'💳 Lançamentos'!H5:H96)&gt;A13)*('💳 Lançamentos'!M5:M96&lt;&gt;"Cancelado")*('💳 Lançamentos'!B5:B96="Shopee")*'💳 Lançamentos'!K5:K96)</f>
        <v/>
      </c>
      <c r="F13" s="101">
        <f>SUMPRODUCT(('💳 Lançamentos'!J5:J96&lt;=A13)*(EDATE('💳 Lançamentos'!J5:J96,'💳 Lançamentos'!H5:H96)&gt;A13)*('💳 Lançamentos'!M5:M96&lt;&gt;"Cancelado")*('💳 Lançamentos'!B5:B96="Compra digitada")*'💳 Lançamentos'!K5:K96)</f>
        <v/>
      </c>
      <c r="G13" s="101">
        <f>B13-SUM(C13:F13)</f>
        <v/>
      </c>
    </row>
    <row r="14" ht="19.5" customHeight="1" s="109">
      <c r="A14" s="102" t="n">
        <v>46327</v>
      </c>
      <c r="B14" s="63">
        <f>SUMPRODUCT(('💳 Lançamentos'!J5:J96&lt;=A14)*(EDATE('💳 Lançamentos'!J5:J96,'💳 Lançamentos'!H5:H96)&gt;A14)*('💳 Lançamentos'!M5:M96&lt;&gt;"Cancelado")*'💳 Lançamentos'!K5:K96)</f>
        <v/>
      </c>
      <c r="C14" s="103">
        <f>SUMPRODUCT(('💳 Lançamentos'!J5:J96&lt;=A14)*(EDATE('💳 Lançamentos'!J5:J96,'💳 Lançamentos'!H5:H96)&gt;A14)*('💳 Lançamentos'!M5:M96&lt;&gt;"Cancelado")*('💳 Lançamentos'!B5:B96="Cartão fixo")*'💳 Lançamentos'!K5:K96)</f>
        <v/>
      </c>
      <c r="D14" s="103">
        <f>SUMPRODUCT(('💳 Lançamentos'!J5:J96&lt;=A14)*(EDATE('💳 Lançamentos'!J5:J96,'💳 Lançamentos'!H5:H96)&gt;A14)*('💳 Lançamentos'!M5:M96&lt;&gt;"Cancelado")*('💳 Lançamentos'!B5:B96="TikTok")*'💳 Lançamentos'!K5:K96)</f>
        <v/>
      </c>
      <c r="E14" s="103">
        <f>SUMPRODUCT(('💳 Lançamentos'!J5:J96&lt;=A14)*(EDATE('💳 Lançamentos'!J5:J96,'💳 Lançamentos'!H5:H96)&gt;A14)*('💳 Lançamentos'!M5:M96&lt;&gt;"Cancelado")*('💳 Lançamentos'!B5:B96="Shopee")*'💳 Lançamentos'!K5:K96)</f>
        <v/>
      </c>
      <c r="F14" s="103">
        <f>SUMPRODUCT(('💳 Lançamentos'!J5:J96&lt;=A14)*(EDATE('💳 Lançamentos'!J5:J96,'💳 Lançamentos'!H5:H96)&gt;A14)*('💳 Lançamentos'!M5:M96&lt;&gt;"Cancelado")*('💳 Lançamentos'!B5:B96="Compra digitada")*'💳 Lançamentos'!K5:K96)</f>
        <v/>
      </c>
      <c r="G14" s="103">
        <f>B14-SUM(C14:F14)</f>
        <v/>
      </c>
    </row>
    <row r="15" ht="19.5" customHeight="1" s="109">
      <c r="A15" s="100" t="n">
        <v>46357</v>
      </c>
      <c r="B15" s="63">
        <f>SUMPRODUCT(('💳 Lançamentos'!J5:J96&lt;=A15)*(EDATE('💳 Lançamentos'!J5:J96,'💳 Lançamentos'!H5:H96)&gt;A15)*('💳 Lançamentos'!M5:M96&lt;&gt;"Cancelado")*'💳 Lançamentos'!K5:K96)</f>
        <v/>
      </c>
      <c r="C15" s="101">
        <f>SUMPRODUCT(('💳 Lançamentos'!J5:J96&lt;=A15)*(EDATE('💳 Lançamentos'!J5:J96,'💳 Lançamentos'!H5:H96)&gt;A15)*('💳 Lançamentos'!M5:M96&lt;&gt;"Cancelado")*('💳 Lançamentos'!B5:B96="Cartão fixo")*'💳 Lançamentos'!K5:K96)</f>
        <v/>
      </c>
      <c r="D15" s="101">
        <f>SUMPRODUCT(('💳 Lançamentos'!J5:J96&lt;=A15)*(EDATE('💳 Lançamentos'!J5:J96,'💳 Lançamentos'!H5:H96)&gt;A15)*('💳 Lançamentos'!M5:M96&lt;&gt;"Cancelado")*('💳 Lançamentos'!B5:B96="TikTok")*'💳 Lançamentos'!K5:K96)</f>
        <v/>
      </c>
      <c r="E15" s="101">
        <f>SUMPRODUCT(('💳 Lançamentos'!J5:J96&lt;=A15)*(EDATE('💳 Lançamentos'!J5:J96,'💳 Lançamentos'!H5:H96)&gt;A15)*('💳 Lançamentos'!M5:M96&lt;&gt;"Cancelado")*('💳 Lançamentos'!B5:B96="Shopee")*'💳 Lançamentos'!K5:K96)</f>
        <v/>
      </c>
      <c r="F15" s="101">
        <f>SUMPRODUCT(('💳 Lançamentos'!J5:J96&lt;=A15)*(EDATE('💳 Lançamentos'!J5:J96,'💳 Lançamentos'!H5:H96)&gt;A15)*('💳 Lançamentos'!M5:M96&lt;&gt;"Cancelado")*('💳 Lançamentos'!B5:B96="Compra digitada")*'💳 Lançamentos'!K5:K96)</f>
        <v/>
      </c>
      <c r="G15" s="101">
        <f>B15-SUM(C15:F15)</f>
        <v/>
      </c>
    </row>
    <row r="16" ht="19.5" customHeight="1" s="109">
      <c r="A16" s="102" t="n">
        <v>46388</v>
      </c>
      <c r="B16" s="63">
        <f>SUMPRODUCT(('💳 Lançamentos'!J5:J96&lt;=A16)*(EDATE('💳 Lançamentos'!J5:J96,'💳 Lançamentos'!H5:H96)&gt;A16)*('💳 Lançamentos'!M5:M96&lt;&gt;"Cancelado")*'💳 Lançamentos'!K5:K96)</f>
        <v/>
      </c>
      <c r="C16" s="103">
        <f>SUMPRODUCT(('💳 Lançamentos'!J5:J96&lt;=A16)*(EDATE('💳 Lançamentos'!J5:J96,'💳 Lançamentos'!H5:H96)&gt;A16)*('💳 Lançamentos'!M5:M96&lt;&gt;"Cancelado")*('💳 Lançamentos'!B5:B96="Cartão fixo")*'💳 Lançamentos'!K5:K96)</f>
        <v/>
      </c>
      <c r="D16" s="103">
        <f>SUMPRODUCT(('💳 Lançamentos'!J5:J96&lt;=A16)*(EDATE('💳 Lançamentos'!J5:J96,'💳 Lançamentos'!H5:H96)&gt;A16)*('💳 Lançamentos'!M5:M96&lt;&gt;"Cancelado")*('💳 Lançamentos'!B5:B96="TikTok")*'💳 Lançamentos'!K5:K96)</f>
        <v/>
      </c>
      <c r="E16" s="103">
        <f>SUMPRODUCT(('💳 Lançamentos'!J5:J96&lt;=A16)*(EDATE('💳 Lançamentos'!J5:J96,'💳 Lançamentos'!H5:H96)&gt;A16)*('💳 Lançamentos'!M5:M96&lt;&gt;"Cancelado")*('💳 Lançamentos'!B5:B96="Shopee")*'💳 Lançamentos'!K5:K96)</f>
        <v/>
      </c>
      <c r="F16" s="103">
        <f>SUMPRODUCT(('💳 Lançamentos'!J5:J96&lt;=A16)*(EDATE('💳 Lançamentos'!J5:J96,'💳 Lançamentos'!H5:H96)&gt;A16)*('💳 Lançamentos'!M5:M96&lt;&gt;"Cancelado")*('💳 Lançamentos'!B5:B96="Compra digitada")*'💳 Lançamentos'!K5:K96)</f>
        <v/>
      </c>
      <c r="G16" s="103">
        <f>B16-SUM(C16:F16)</f>
        <v/>
      </c>
    </row>
    <row r="17" ht="19.5" customHeight="1" s="109">
      <c r="A17" s="100" t="n">
        <v>46419</v>
      </c>
      <c r="B17" s="63">
        <f>SUMPRODUCT(('💳 Lançamentos'!J5:J96&lt;=A17)*(EDATE('💳 Lançamentos'!J5:J96,'💳 Lançamentos'!H5:H96)&gt;A17)*('💳 Lançamentos'!M5:M96&lt;&gt;"Cancelado")*'💳 Lançamentos'!K5:K96)</f>
        <v/>
      </c>
      <c r="C17" s="101">
        <f>SUMPRODUCT(('💳 Lançamentos'!J5:J96&lt;=A17)*(EDATE('💳 Lançamentos'!J5:J96,'💳 Lançamentos'!H5:H96)&gt;A17)*('💳 Lançamentos'!M5:M96&lt;&gt;"Cancelado")*('💳 Lançamentos'!B5:B96="Cartão fixo")*'💳 Lançamentos'!K5:K96)</f>
        <v/>
      </c>
      <c r="D17" s="101">
        <f>SUMPRODUCT(('💳 Lançamentos'!J5:J96&lt;=A17)*(EDATE('💳 Lançamentos'!J5:J96,'💳 Lançamentos'!H5:H96)&gt;A17)*('💳 Lançamentos'!M5:M96&lt;&gt;"Cancelado")*('💳 Lançamentos'!B5:B96="TikTok")*'💳 Lançamentos'!K5:K96)</f>
        <v/>
      </c>
      <c r="E17" s="101">
        <f>SUMPRODUCT(('💳 Lançamentos'!J5:J96&lt;=A17)*(EDATE('💳 Lançamentos'!J5:J96,'💳 Lançamentos'!H5:H96)&gt;A17)*('💳 Lançamentos'!M5:M96&lt;&gt;"Cancelado")*('💳 Lançamentos'!B5:B96="Shopee")*'💳 Lançamentos'!K5:K96)</f>
        <v/>
      </c>
      <c r="F17" s="101">
        <f>SUMPRODUCT(('💳 Lançamentos'!J5:J96&lt;=A17)*(EDATE('💳 Lançamentos'!J5:J96,'💳 Lançamentos'!H5:H96)&gt;A17)*('💳 Lançamentos'!M5:M96&lt;&gt;"Cancelado")*('💳 Lançamentos'!B5:B96="Compra digitada")*'💳 Lançamentos'!K5:K96)</f>
        <v/>
      </c>
      <c r="G17" s="101">
        <f>B17-SUM(C17:F17)</f>
        <v/>
      </c>
    </row>
    <row r="18" ht="19.5" customHeight="1" s="109">
      <c r="A18" s="102" t="n">
        <v>46447</v>
      </c>
      <c r="B18" s="63">
        <f>SUMPRODUCT(('💳 Lançamentos'!J5:J96&lt;=A18)*(EDATE('💳 Lançamentos'!J5:J96,'💳 Lançamentos'!H5:H96)&gt;A18)*('💳 Lançamentos'!M5:M96&lt;&gt;"Cancelado")*'💳 Lançamentos'!K5:K96)</f>
        <v/>
      </c>
      <c r="C18" s="103">
        <f>SUMPRODUCT(('💳 Lançamentos'!J5:J96&lt;=A18)*(EDATE('💳 Lançamentos'!J5:J96,'💳 Lançamentos'!H5:H96)&gt;A18)*('💳 Lançamentos'!M5:M96&lt;&gt;"Cancelado")*('💳 Lançamentos'!B5:B96="Cartão fixo")*'💳 Lançamentos'!K5:K96)</f>
        <v/>
      </c>
      <c r="D18" s="103">
        <f>SUMPRODUCT(('💳 Lançamentos'!J5:J96&lt;=A18)*(EDATE('💳 Lançamentos'!J5:J96,'💳 Lançamentos'!H5:H96)&gt;A18)*('💳 Lançamentos'!M5:M96&lt;&gt;"Cancelado")*('💳 Lançamentos'!B5:B96="TikTok")*'💳 Lançamentos'!K5:K96)</f>
        <v/>
      </c>
      <c r="E18" s="103">
        <f>SUMPRODUCT(('💳 Lançamentos'!J5:J96&lt;=A18)*(EDATE('💳 Lançamentos'!J5:J96,'💳 Lançamentos'!H5:H96)&gt;A18)*('💳 Lançamentos'!M5:M96&lt;&gt;"Cancelado")*('💳 Lançamentos'!B5:B96="Shopee")*'💳 Lançamentos'!K5:K96)</f>
        <v/>
      </c>
      <c r="F18" s="103">
        <f>SUMPRODUCT(('💳 Lançamentos'!J5:J96&lt;=A18)*(EDATE('💳 Lançamentos'!J5:J96,'💳 Lançamentos'!H5:H96)&gt;A18)*('💳 Lançamentos'!M5:M96&lt;&gt;"Cancelado")*('💳 Lançamentos'!B5:B96="Compra digitada")*'💳 Lançamentos'!K5:K96)</f>
        <v/>
      </c>
      <c r="G18" s="103">
        <f>B18-SUM(C18:F18)</f>
        <v/>
      </c>
    </row>
    <row r="19" ht="19.5" customHeight="1" s="109">
      <c r="A19" s="100" t="n">
        <v>46478</v>
      </c>
      <c r="B19" s="63">
        <f>SUMPRODUCT(('💳 Lançamentos'!J5:J96&lt;=A19)*(EDATE('💳 Lançamentos'!J5:J96,'💳 Lançamentos'!H5:H96)&gt;A19)*('💳 Lançamentos'!M5:M96&lt;&gt;"Cancelado")*'💳 Lançamentos'!K5:K96)</f>
        <v/>
      </c>
      <c r="C19" s="101">
        <f>SUMPRODUCT(('💳 Lançamentos'!J5:J96&lt;=A19)*(EDATE('💳 Lançamentos'!J5:J96,'💳 Lançamentos'!H5:H96)&gt;A19)*('💳 Lançamentos'!M5:M96&lt;&gt;"Cancelado")*('💳 Lançamentos'!B5:B96="Cartão fixo")*'💳 Lançamentos'!K5:K96)</f>
        <v/>
      </c>
      <c r="D19" s="101">
        <f>SUMPRODUCT(('💳 Lançamentos'!J5:J96&lt;=A19)*(EDATE('💳 Lançamentos'!J5:J96,'💳 Lançamentos'!H5:H96)&gt;A19)*('💳 Lançamentos'!M5:M96&lt;&gt;"Cancelado")*('💳 Lançamentos'!B5:B96="TikTok")*'💳 Lançamentos'!K5:K96)</f>
        <v/>
      </c>
      <c r="E19" s="101">
        <f>SUMPRODUCT(('💳 Lançamentos'!J5:J96&lt;=A19)*(EDATE('💳 Lançamentos'!J5:J96,'💳 Lançamentos'!H5:H96)&gt;A19)*('💳 Lançamentos'!M5:M96&lt;&gt;"Cancelado")*('💳 Lançamentos'!B5:B96="Shopee")*'💳 Lançamentos'!K5:K96)</f>
        <v/>
      </c>
      <c r="F19" s="101">
        <f>SUMPRODUCT(('💳 Lançamentos'!J5:J96&lt;=A19)*(EDATE('💳 Lançamentos'!J5:J96,'💳 Lançamentos'!H5:H96)&gt;A19)*('💳 Lançamentos'!M5:M96&lt;&gt;"Cancelado")*('💳 Lançamentos'!B5:B96="Compra digitada")*'💳 Lançamentos'!K5:K96)</f>
        <v/>
      </c>
      <c r="G19" s="101">
        <f>B19-SUM(C19:F19)</f>
        <v/>
      </c>
    </row>
    <row r="20" ht="19.5" customHeight="1" s="109">
      <c r="A20" s="102" t="n">
        <v>46508</v>
      </c>
      <c r="B20" s="63">
        <f>SUMPRODUCT(('💳 Lançamentos'!J5:J96&lt;=A20)*(EDATE('💳 Lançamentos'!J5:J96,'💳 Lançamentos'!H5:H96)&gt;A20)*('💳 Lançamentos'!M5:M96&lt;&gt;"Cancelado")*'💳 Lançamentos'!K5:K96)</f>
        <v/>
      </c>
      <c r="C20" s="103">
        <f>SUMPRODUCT(('💳 Lançamentos'!J5:J96&lt;=A20)*(EDATE('💳 Lançamentos'!J5:J96,'💳 Lançamentos'!H5:H96)&gt;A20)*('💳 Lançamentos'!M5:M96&lt;&gt;"Cancelado")*('💳 Lançamentos'!B5:B96="Cartão fixo")*'💳 Lançamentos'!K5:K96)</f>
        <v/>
      </c>
      <c r="D20" s="103">
        <f>SUMPRODUCT(('💳 Lançamentos'!J5:J96&lt;=A20)*(EDATE('💳 Lançamentos'!J5:J96,'💳 Lançamentos'!H5:H96)&gt;A20)*('💳 Lançamentos'!M5:M96&lt;&gt;"Cancelado")*('💳 Lançamentos'!B5:B96="TikTok")*'💳 Lançamentos'!K5:K96)</f>
        <v/>
      </c>
      <c r="E20" s="103">
        <f>SUMPRODUCT(('💳 Lançamentos'!J5:J96&lt;=A20)*(EDATE('💳 Lançamentos'!J5:J96,'💳 Lançamentos'!H5:H96)&gt;A20)*('💳 Lançamentos'!M5:M96&lt;&gt;"Cancelado")*('💳 Lançamentos'!B5:B96="Shopee")*'💳 Lançamentos'!K5:K96)</f>
        <v/>
      </c>
      <c r="F20" s="103">
        <f>SUMPRODUCT(('💳 Lançamentos'!J5:J96&lt;=A20)*(EDATE('💳 Lançamentos'!J5:J96,'💳 Lançamentos'!H5:H96)&gt;A20)*('💳 Lançamentos'!M5:M96&lt;&gt;"Cancelado")*('💳 Lançamentos'!B5:B96="Compra digitada")*'💳 Lançamentos'!K5:K96)</f>
        <v/>
      </c>
      <c r="G20" s="103">
        <f>B20-SUM(C20:F20)</f>
        <v/>
      </c>
    </row>
    <row r="21" ht="19.5" customHeight="1" s="109">
      <c r="A21" s="100" t="n">
        <v>46539</v>
      </c>
      <c r="B21" s="63">
        <f>SUMPRODUCT(('💳 Lançamentos'!J5:J96&lt;=A21)*(EDATE('💳 Lançamentos'!J5:J96,'💳 Lançamentos'!H5:H96)&gt;A21)*('💳 Lançamentos'!M5:M96&lt;&gt;"Cancelado")*'💳 Lançamentos'!K5:K96)</f>
        <v/>
      </c>
      <c r="C21" s="101">
        <f>SUMPRODUCT(('💳 Lançamentos'!J5:J96&lt;=A21)*(EDATE('💳 Lançamentos'!J5:J96,'💳 Lançamentos'!H5:H96)&gt;A21)*('💳 Lançamentos'!M5:M96&lt;&gt;"Cancelado")*('💳 Lançamentos'!B5:B96="Cartão fixo")*'💳 Lançamentos'!K5:K96)</f>
        <v/>
      </c>
      <c r="D21" s="101">
        <f>SUMPRODUCT(('💳 Lançamentos'!J5:J96&lt;=A21)*(EDATE('💳 Lançamentos'!J5:J96,'💳 Lançamentos'!H5:H96)&gt;A21)*('💳 Lançamentos'!M5:M96&lt;&gt;"Cancelado")*('💳 Lançamentos'!B5:B96="TikTok")*'💳 Lançamentos'!K5:K96)</f>
        <v/>
      </c>
      <c r="E21" s="101">
        <f>SUMPRODUCT(('💳 Lançamentos'!J5:J96&lt;=A21)*(EDATE('💳 Lançamentos'!J5:J96,'💳 Lançamentos'!H5:H96)&gt;A21)*('💳 Lançamentos'!M5:M96&lt;&gt;"Cancelado")*('💳 Lançamentos'!B5:B96="Shopee")*'💳 Lançamentos'!K5:K96)</f>
        <v/>
      </c>
      <c r="F21" s="101">
        <f>SUMPRODUCT(('💳 Lançamentos'!J5:J96&lt;=A21)*(EDATE('💳 Lançamentos'!J5:J96,'💳 Lançamentos'!H5:H96)&gt;A21)*('💳 Lançamentos'!M5:M96&lt;&gt;"Cancelado")*('💳 Lançamentos'!B5:B96="Compra digitada")*'💳 Lançamentos'!K5:K96)</f>
        <v/>
      </c>
      <c r="G21" s="101">
        <f>B21-SUM(C21:F21)</f>
        <v/>
      </c>
    </row>
    <row r="22" ht="19.5" customHeight="1" s="109">
      <c r="A22" s="102" t="n">
        <v>46569</v>
      </c>
      <c r="B22" s="63">
        <f>SUMPRODUCT(('💳 Lançamentos'!J5:J96&lt;=A22)*(EDATE('💳 Lançamentos'!J5:J96,'💳 Lançamentos'!H5:H96)&gt;A22)*('💳 Lançamentos'!M5:M96&lt;&gt;"Cancelado")*'💳 Lançamentos'!K5:K96)</f>
        <v/>
      </c>
      <c r="C22" s="103">
        <f>SUMPRODUCT(('💳 Lançamentos'!J5:J96&lt;=A22)*(EDATE('💳 Lançamentos'!J5:J96,'💳 Lançamentos'!H5:H96)&gt;A22)*('💳 Lançamentos'!M5:M96&lt;&gt;"Cancelado")*('💳 Lançamentos'!B5:B96="Cartão fixo")*'💳 Lançamentos'!K5:K96)</f>
        <v/>
      </c>
      <c r="D22" s="103">
        <f>SUMPRODUCT(('💳 Lançamentos'!J5:J96&lt;=A22)*(EDATE('💳 Lançamentos'!J5:J96,'💳 Lançamentos'!H5:H96)&gt;A22)*('💳 Lançamentos'!M5:M96&lt;&gt;"Cancelado")*('💳 Lançamentos'!B5:B96="TikTok")*'💳 Lançamentos'!K5:K96)</f>
        <v/>
      </c>
      <c r="E22" s="103">
        <f>SUMPRODUCT(('💳 Lançamentos'!J5:J96&lt;=A22)*(EDATE('💳 Lançamentos'!J5:J96,'💳 Lançamentos'!H5:H96)&gt;A22)*('💳 Lançamentos'!M5:M96&lt;&gt;"Cancelado")*('💳 Lançamentos'!B5:B96="Shopee")*'💳 Lançamentos'!K5:K96)</f>
        <v/>
      </c>
      <c r="F22" s="103">
        <f>SUMPRODUCT(('💳 Lançamentos'!J5:J96&lt;=A22)*(EDATE('💳 Lançamentos'!J5:J96,'💳 Lançamentos'!H5:H96)&gt;A22)*('💳 Lançamentos'!M5:M96&lt;&gt;"Cancelado")*('💳 Lançamentos'!B5:B96="Compra digitada")*'💳 Lançamentos'!K5:K96)</f>
        <v/>
      </c>
      <c r="G22" s="103">
        <f>B22-SUM(C22:F22)</f>
        <v/>
      </c>
    </row>
    <row r="23" ht="19.5" customHeight="1" s="109">
      <c r="A23" s="100" t="n">
        <v>46600</v>
      </c>
      <c r="B23" s="63">
        <f>SUMPRODUCT(('💳 Lançamentos'!J5:J96&lt;=A23)*(EDATE('💳 Lançamentos'!J5:J96,'💳 Lançamentos'!H5:H96)&gt;A23)*('💳 Lançamentos'!M5:M96&lt;&gt;"Cancelado")*'💳 Lançamentos'!K5:K96)</f>
        <v/>
      </c>
      <c r="C23" s="101">
        <f>SUMPRODUCT(('💳 Lançamentos'!J5:J96&lt;=A23)*(EDATE('💳 Lançamentos'!J5:J96,'💳 Lançamentos'!H5:H96)&gt;A23)*('💳 Lançamentos'!M5:M96&lt;&gt;"Cancelado")*('💳 Lançamentos'!B5:B96="Cartão fixo")*'💳 Lançamentos'!K5:K96)</f>
        <v/>
      </c>
      <c r="D23" s="101">
        <f>SUMPRODUCT(('💳 Lançamentos'!J5:J96&lt;=A23)*(EDATE('💳 Lançamentos'!J5:J96,'💳 Lançamentos'!H5:H96)&gt;A23)*('💳 Lançamentos'!M5:M96&lt;&gt;"Cancelado")*('💳 Lançamentos'!B5:B96="TikTok")*'💳 Lançamentos'!K5:K96)</f>
        <v/>
      </c>
      <c r="E23" s="101">
        <f>SUMPRODUCT(('💳 Lançamentos'!J5:J96&lt;=A23)*(EDATE('💳 Lançamentos'!J5:J96,'💳 Lançamentos'!H5:H96)&gt;A23)*('💳 Lançamentos'!M5:M96&lt;&gt;"Cancelado")*('💳 Lançamentos'!B5:B96="Shopee")*'💳 Lançamentos'!K5:K96)</f>
        <v/>
      </c>
      <c r="F23" s="101">
        <f>SUMPRODUCT(('💳 Lançamentos'!J5:J96&lt;=A23)*(EDATE('💳 Lançamentos'!J5:J96,'💳 Lançamentos'!H5:H96)&gt;A23)*('💳 Lançamentos'!M5:M96&lt;&gt;"Cancelado")*('💳 Lançamentos'!B5:B96="Compra digitada")*'💳 Lançamentos'!K5:K96)</f>
        <v/>
      </c>
      <c r="G23" s="101">
        <f>B23-SUM(C23:F23)</f>
        <v/>
      </c>
    </row>
    <row r="24" ht="19.5" customHeight="1" s="109">
      <c r="A24" s="102" t="n">
        <v>46631</v>
      </c>
      <c r="B24" s="63">
        <f>SUMPRODUCT(('💳 Lançamentos'!J5:J96&lt;=A24)*(EDATE('💳 Lançamentos'!J5:J96,'💳 Lançamentos'!H5:H96)&gt;A24)*('💳 Lançamentos'!M5:M96&lt;&gt;"Cancelado")*'💳 Lançamentos'!K5:K96)</f>
        <v/>
      </c>
      <c r="C24" s="103">
        <f>SUMPRODUCT(('💳 Lançamentos'!J5:J96&lt;=A24)*(EDATE('💳 Lançamentos'!J5:J96,'💳 Lançamentos'!H5:H96)&gt;A24)*('💳 Lançamentos'!M5:M96&lt;&gt;"Cancelado")*('💳 Lançamentos'!B5:B96="Cartão fixo")*'💳 Lançamentos'!K5:K96)</f>
        <v/>
      </c>
      <c r="D24" s="103">
        <f>SUMPRODUCT(('💳 Lançamentos'!J5:J96&lt;=A24)*(EDATE('💳 Lançamentos'!J5:J96,'💳 Lançamentos'!H5:H96)&gt;A24)*('💳 Lançamentos'!M5:M96&lt;&gt;"Cancelado")*('💳 Lançamentos'!B5:B96="TikTok")*'💳 Lançamentos'!K5:K96)</f>
        <v/>
      </c>
      <c r="E24" s="103">
        <f>SUMPRODUCT(('💳 Lançamentos'!J5:J96&lt;=A24)*(EDATE('💳 Lançamentos'!J5:J96,'💳 Lançamentos'!H5:H96)&gt;A24)*('💳 Lançamentos'!M5:M96&lt;&gt;"Cancelado")*('💳 Lançamentos'!B5:B96="Shopee")*'💳 Lançamentos'!K5:K96)</f>
        <v/>
      </c>
      <c r="F24" s="103">
        <f>SUMPRODUCT(('💳 Lançamentos'!J5:J96&lt;=A24)*(EDATE('💳 Lançamentos'!J5:J96,'💳 Lançamentos'!H5:H96)&gt;A24)*('💳 Lançamentos'!M5:M96&lt;&gt;"Cancelado")*('💳 Lançamentos'!B5:B96="Compra digitada")*'💳 Lançamentos'!K5:K96)</f>
        <v/>
      </c>
      <c r="G24" s="103">
        <f>B24-SUM(C24:F24)</f>
        <v/>
      </c>
    </row>
    <row r="25" ht="19.5" customHeight="1" s="109">
      <c r="A25" s="100" t="n">
        <v>46661</v>
      </c>
      <c r="B25" s="63">
        <f>SUMPRODUCT(('💳 Lançamentos'!J5:J96&lt;=A25)*(EDATE('💳 Lançamentos'!J5:J96,'💳 Lançamentos'!H5:H96)&gt;A25)*('💳 Lançamentos'!M5:M96&lt;&gt;"Cancelado")*'💳 Lançamentos'!K5:K96)</f>
        <v/>
      </c>
      <c r="C25" s="101">
        <f>SUMPRODUCT(('💳 Lançamentos'!J5:J96&lt;=A25)*(EDATE('💳 Lançamentos'!J5:J96,'💳 Lançamentos'!H5:H96)&gt;A25)*('💳 Lançamentos'!M5:M96&lt;&gt;"Cancelado")*('💳 Lançamentos'!B5:B96="Cartão fixo")*'💳 Lançamentos'!K5:K96)</f>
        <v/>
      </c>
      <c r="D25" s="101">
        <f>SUMPRODUCT(('💳 Lançamentos'!J5:J96&lt;=A25)*(EDATE('💳 Lançamentos'!J5:J96,'💳 Lançamentos'!H5:H96)&gt;A25)*('💳 Lançamentos'!M5:M96&lt;&gt;"Cancelado")*('💳 Lançamentos'!B5:B96="TikTok")*'💳 Lançamentos'!K5:K96)</f>
        <v/>
      </c>
      <c r="E25" s="101">
        <f>SUMPRODUCT(('💳 Lançamentos'!J5:J96&lt;=A25)*(EDATE('💳 Lançamentos'!J5:J96,'💳 Lançamentos'!H5:H96)&gt;A25)*('💳 Lançamentos'!M5:M96&lt;&gt;"Cancelado")*('💳 Lançamentos'!B5:B96="Shopee")*'💳 Lançamentos'!K5:K96)</f>
        <v/>
      </c>
      <c r="F25" s="101">
        <f>SUMPRODUCT(('💳 Lançamentos'!J5:J96&lt;=A25)*(EDATE('💳 Lançamentos'!J5:J96,'💳 Lançamentos'!H5:H96)&gt;A25)*('💳 Lançamentos'!M5:M96&lt;&gt;"Cancelado")*('💳 Lançamentos'!B5:B96="Compra digitada")*'💳 Lançamentos'!K5:K96)</f>
        <v/>
      </c>
      <c r="G25" s="101">
        <f>B25-SUM(C25:F25)</f>
        <v/>
      </c>
    </row>
    <row r="26" ht="19.5" customHeight="1" s="109">
      <c r="A26" s="102" t="n">
        <v>46692</v>
      </c>
      <c r="B26" s="63">
        <f>SUMPRODUCT(('💳 Lançamentos'!J5:J96&lt;=A26)*(EDATE('💳 Lançamentos'!J5:J96,'💳 Lançamentos'!H5:H96)&gt;A26)*('💳 Lançamentos'!M5:M96&lt;&gt;"Cancelado")*'💳 Lançamentos'!K5:K96)</f>
        <v/>
      </c>
      <c r="C26" s="103">
        <f>SUMPRODUCT(('💳 Lançamentos'!J5:J96&lt;=A26)*(EDATE('💳 Lançamentos'!J5:J96,'💳 Lançamentos'!H5:H96)&gt;A26)*('💳 Lançamentos'!M5:M96&lt;&gt;"Cancelado")*('💳 Lançamentos'!B5:B96="Cartão fixo")*'💳 Lançamentos'!K5:K96)</f>
        <v/>
      </c>
      <c r="D26" s="103">
        <f>SUMPRODUCT(('💳 Lançamentos'!J5:J96&lt;=A26)*(EDATE('💳 Lançamentos'!J5:J96,'💳 Lançamentos'!H5:H96)&gt;A26)*('💳 Lançamentos'!M5:M96&lt;&gt;"Cancelado")*('💳 Lançamentos'!B5:B96="TikTok")*'💳 Lançamentos'!K5:K96)</f>
        <v/>
      </c>
      <c r="E26" s="103">
        <f>SUMPRODUCT(('💳 Lançamentos'!J5:J96&lt;=A26)*(EDATE('💳 Lançamentos'!J5:J96,'💳 Lançamentos'!H5:H96)&gt;A26)*('💳 Lançamentos'!M5:M96&lt;&gt;"Cancelado")*('💳 Lançamentos'!B5:B96="Shopee")*'💳 Lançamentos'!K5:K96)</f>
        <v/>
      </c>
      <c r="F26" s="103">
        <f>SUMPRODUCT(('💳 Lançamentos'!J5:J96&lt;=A26)*(EDATE('💳 Lançamentos'!J5:J96,'💳 Lançamentos'!H5:H96)&gt;A26)*('💳 Lançamentos'!M5:M96&lt;&gt;"Cancelado")*('💳 Lançamentos'!B5:B96="Compra digitada")*'💳 Lançamentos'!K5:K96)</f>
        <v/>
      </c>
      <c r="G26" s="103">
        <f>B26-SUM(C26:F26)</f>
        <v/>
      </c>
    </row>
    <row r="27" ht="19.5" customHeight="1" s="109">
      <c r="A27" s="100" t="n">
        <v>46722</v>
      </c>
      <c r="B27" s="63">
        <f>SUMPRODUCT(('💳 Lançamentos'!J5:J96&lt;=A27)*(EDATE('💳 Lançamentos'!J5:J96,'💳 Lançamentos'!H5:H96)&gt;A27)*('💳 Lançamentos'!M5:M96&lt;&gt;"Cancelado")*'💳 Lançamentos'!K5:K96)</f>
        <v/>
      </c>
      <c r="C27" s="101">
        <f>SUMPRODUCT(('💳 Lançamentos'!J5:J96&lt;=A27)*(EDATE('💳 Lançamentos'!J5:J96,'💳 Lançamentos'!H5:H96)&gt;A27)*('💳 Lançamentos'!M5:M96&lt;&gt;"Cancelado")*('💳 Lançamentos'!B5:B96="Cartão fixo")*'💳 Lançamentos'!K5:K96)</f>
        <v/>
      </c>
      <c r="D27" s="101">
        <f>SUMPRODUCT(('💳 Lançamentos'!J5:J96&lt;=A27)*(EDATE('💳 Lançamentos'!J5:J96,'💳 Lançamentos'!H5:H96)&gt;A27)*('💳 Lançamentos'!M5:M96&lt;&gt;"Cancelado")*('💳 Lançamentos'!B5:B96="TikTok")*'💳 Lançamentos'!K5:K96)</f>
        <v/>
      </c>
      <c r="E27" s="101">
        <f>SUMPRODUCT(('💳 Lançamentos'!J5:J96&lt;=A27)*(EDATE('💳 Lançamentos'!J5:J96,'💳 Lançamentos'!H5:H96)&gt;A27)*('💳 Lançamentos'!M5:M96&lt;&gt;"Cancelado")*('💳 Lançamentos'!B5:B96="Shopee")*'💳 Lançamentos'!K5:K96)</f>
        <v/>
      </c>
      <c r="F27" s="101">
        <f>SUMPRODUCT(('💳 Lançamentos'!J5:J96&lt;=A27)*(EDATE('💳 Lançamentos'!J5:J96,'💳 Lançamentos'!H5:H96)&gt;A27)*('💳 Lançamentos'!M5:M96&lt;&gt;"Cancelado")*('💳 Lançamentos'!B5:B96="Compra digitada")*'💳 Lançamentos'!K5:K96)</f>
        <v/>
      </c>
      <c r="G27" s="101">
        <f>B27-SUM(C27:F27)</f>
        <v/>
      </c>
    </row>
    <row r="28" ht="19.5" customHeight="1" s="109">
      <c r="A28" s="102" t="n">
        <v>46753</v>
      </c>
      <c r="B28" s="63">
        <f>SUMPRODUCT(('💳 Lançamentos'!J5:J96&lt;=A28)*(EDATE('💳 Lançamentos'!J5:J96,'💳 Lançamentos'!H5:H96)&gt;A28)*('💳 Lançamentos'!M5:M96&lt;&gt;"Cancelado")*'💳 Lançamentos'!K5:K96)</f>
        <v/>
      </c>
      <c r="C28" s="103">
        <f>SUMPRODUCT(('💳 Lançamentos'!J5:J96&lt;=A28)*(EDATE('💳 Lançamentos'!J5:J96,'💳 Lançamentos'!H5:H96)&gt;A28)*('💳 Lançamentos'!M5:M96&lt;&gt;"Cancelado")*('💳 Lançamentos'!B5:B96="Cartão fixo")*'💳 Lançamentos'!K5:K96)</f>
        <v/>
      </c>
      <c r="D28" s="103">
        <f>SUMPRODUCT(('💳 Lançamentos'!J5:J96&lt;=A28)*(EDATE('💳 Lançamentos'!J5:J96,'💳 Lançamentos'!H5:H96)&gt;A28)*('💳 Lançamentos'!M5:M96&lt;&gt;"Cancelado")*('💳 Lançamentos'!B5:B96="TikTok")*'💳 Lançamentos'!K5:K96)</f>
        <v/>
      </c>
      <c r="E28" s="103">
        <f>SUMPRODUCT(('💳 Lançamentos'!J5:J96&lt;=A28)*(EDATE('💳 Lançamentos'!J5:J96,'💳 Lançamentos'!H5:H96)&gt;A28)*('💳 Lançamentos'!M5:M96&lt;&gt;"Cancelado")*('💳 Lançamentos'!B5:B96="Shopee")*'💳 Lançamentos'!K5:K96)</f>
        <v/>
      </c>
      <c r="F28" s="103">
        <f>SUMPRODUCT(('💳 Lançamentos'!J5:J96&lt;=A28)*(EDATE('💳 Lançamentos'!J5:J96,'💳 Lançamentos'!H5:H96)&gt;A28)*('💳 Lançamentos'!M5:M96&lt;&gt;"Cancelado")*('💳 Lançamentos'!B5:B96="Compra digitada")*'💳 Lançamentos'!K5:K96)</f>
        <v/>
      </c>
      <c r="G28" s="103">
        <f>B28-SUM(C28:F28)</f>
        <v/>
      </c>
    </row>
    <row r="29" ht="21.75" customHeight="1" s="109">
      <c r="A29" s="104" t="inlineStr">
        <is>
          <t>TOTAL 24 MESES</t>
        </is>
      </c>
      <c r="B29" s="84">
        <f>SUM(B5:B28)</f>
        <v/>
      </c>
      <c r="C29" s="84">
        <f>SUM(C5:C28)</f>
        <v/>
      </c>
      <c r="D29" s="84">
        <f>SUM(D5:D28)</f>
        <v/>
      </c>
      <c r="E29" s="84">
        <f>SUM(E5:E28)</f>
        <v/>
      </c>
      <c r="F29" s="84">
        <f>SUM(F5:F28)</f>
        <v/>
      </c>
      <c r="G29" s="84">
        <f>SUM(G5:G28)</f>
        <v/>
      </c>
    </row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3">
    <mergeCell ref="A3:G3"/>
    <mergeCell ref="A2:G2"/>
    <mergeCell ref="A1:G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ColWidth="14.43" defaultRowHeight="15" customHeight="1"/>
  <cols>
    <col width="38" customWidth="1" style="109" min="1" max="1"/>
    <col width="36" customWidth="1" style="109" min="2" max="2"/>
    <col width="30" customWidth="1" style="109" min="3" max="3"/>
    <col width="8.710000000000001" customWidth="1" style="109" min="4" max="26"/>
  </cols>
  <sheetData>
    <row r="1" ht="30" customHeight="1" s="109">
      <c r="A1" s="119" t="inlineStr">
        <is>
          <t>Taldo Studio 3D  ·  Resumo da Projeção de Parcelas  ·  v7.2</t>
        </is>
      </c>
    </row>
    <row r="2" ht="7.5" customHeight="1" s="109">
      <c r="A2" s="111" t="n"/>
    </row>
    <row r="3" ht="21.75" customHeight="1" s="109">
      <c r="A3" s="7" t="inlineStr">
        <is>
          <t>INDICADOR</t>
        </is>
      </c>
      <c r="B3" s="7" t="inlineStr">
        <is>
          <t>VALOR</t>
        </is>
      </c>
    </row>
    <row r="4" ht="24" customHeight="1" s="109">
      <c r="A4" s="15" t="inlineStr">
        <is>
          <t>📅 Mês inicial</t>
        </is>
      </c>
      <c r="B4" s="105">
        <f>MINIFS('💳 Lançamentos'!J5:J96,'💳 Lançamentos'!J5:J96,"&gt;0")</f>
        <v/>
      </c>
    </row>
    <row r="5" ht="24" customHeight="1" s="109">
      <c r="A5" s="19" t="inlineStr">
        <is>
          <t>📅 Mês final</t>
        </is>
      </c>
      <c r="B5" s="105">
        <f>MAXIFS('💳 Lançamentos'!O5:O96,'💳 Lançamentos'!O5:O96,"&gt;0")</f>
        <v/>
      </c>
    </row>
    <row r="6" ht="24" customHeight="1" s="109">
      <c r="A6" s="15" t="inlineStr">
        <is>
          <t>💰 Total projetado 24m</t>
        </is>
      </c>
      <c r="B6" s="85">
        <f>SUM('📅 Proj. Mensal'!B5:B28)</f>
        <v/>
      </c>
    </row>
    <row r="7" ht="24" customHeight="1" s="109">
      <c r="A7" s="19" t="inlineStr">
        <is>
          <t>📦 Qtd lançamentos</t>
        </is>
      </c>
      <c r="B7" s="106">
        <f>COUNTA('💳 Lançamentos'!D5:D96)</f>
        <v/>
      </c>
    </row>
    <row r="8" ht="24" customHeight="1" s="109">
      <c r="A8" s="15" t="inlineStr">
        <is>
          <t>⚠️ Itens para conferir</t>
        </is>
      </c>
      <c r="B8" s="106">
        <f>COUNTIF('💳 Lançamentos'!M5:M96,"Conferir")</f>
        <v/>
      </c>
    </row>
    <row r="9" ht="24" customHeight="1" s="109">
      <c r="A9" s="19" t="inlineStr">
        <is>
          <t>📈 Maior mês</t>
        </is>
      </c>
      <c r="B9" s="85">
        <f>MAX('📅 Proj. Mensal'!B5:B28)</f>
        <v/>
      </c>
    </row>
    <row r="10" ht="24" customHeight="1" s="109">
      <c r="A10" s="15" t="inlineStr">
        <is>
          <t>📉 Menor mês</t>
        </is>
      </c>
      <c r="B10" s="85">
        <f>MINIFS('📅 Proj. Mensal'!B5:B28,'📅 Proj. Mensal'!B5:B28,"&gt;0")</f>
        <v/>
      </c>
    </row>
    <row r="11" ht="24" customHeight="1" s="109">
      <c r="A11" s="19" t="inlineStr">
        <is>
          <t>📊 Média mensal</t>
        </is>
      </c>
      <c r="B11" s="85">
        <f>AVERAGE('📅 Proj. Mensal'!B5:B28)</f>
        <v/>
      </c>
    </row>
    <row r="14" ht="21.75" customHeight="1" s="109">
      <c r="A14" s="112" t="inlineStr">
        <is>
          <t>📋 COMO USAR</t>
        </is>
      </c>
    </row>
    <row r="15" ht="18" customHeight="1" s="109">
      <c r="A15" s="121" t="inlineStr">
        <is>
          <t>1. Em 💳 Lançamentos: informe a Parc. Atual (ex: 5 se aparece 05/10 na fatura).</t>
        </is>
      </c>
      <c r="B15" s="115" t="n"/>
    </row>
    <row r="16" ht="18" customHeight="1" s="109">
      <c r="A16" s="122" t="inlineStr">
        <is>
          <t>2. Data na Fatura = dia que a parcela apareceu no cartão. Em branco = usa mês atual.</t>
        </is>
      </c>
      <c r="B16" s="115" t="n"/>
    </row>
    <row r="17" ht="18" customHeight="1" s="109">
      <c r="A17" s="121" t="inlineStr">
        <is>
          <t>3. Início da Compra calcula automaticamente: se está na 5ª de 10, a compra foi há 4 meses.</t>
        </is>
      </c>
      <c r="B17" s="115" t="n"/>
    </row>
    <row r="18" ht="18" customHeight="1" s="109">
      <c r="A18" s="122" t="inlineStr">
        <is>
          <t>4. A aba 📅 Proj. Mensal atualiza sozinha com base no Início da Compra.</t>
        </is>
      </c>
      <c r="B18" s="115" t="n"/>
    </row>
    <row r="19" ht="18" customHeight="1" s="109">
      <c r="A19" s="121" t="inlineStr">
        <is>
          <t>5. Itens "Conferir" no Status precisam de validação manual nas observações.</t>
        </is>
      </c>
      <c r="B19" s="115" t="n"/>
    </row>
    <row r="20" ht="18" customHeight="1" s="109">
      <c r="A20" s="122" t="inlineStr">
        <is>
          <t>6. Para nova compra: adicione uma linha em 💳 Lançamentos.</t>
        </is>
      </c>
      <c r="B20" s="115" t="n"/>
    </row>
    <row r="21" ht="15.75" customHeight="1" s="109"/>
    <row r="22" ht="15.75" customHeight="1" s="109"/>
    <row r="23" ht="15.75" customHeight="1" s="109"/>
    <row r="24" ht="15.75" customHeight="1" s="109"/>
    <row r="25" ht="15.75" customHeight="1" s="109"/>
    <row r="26" ht="15.75" customHeight="1" s="109"/>
    <row r="27" ht="15.75" customHeight="1" s="109"/>
    <row r="28" ht="15.75" customHeight="1" s="109"/>
    <row r="29" ht="15.75" customHeight="1" s="109"/>
    <row r="30" ht="15.75" customHeight="1" s="109"/>
    <row r="31" ht="15.75" customHeight="1" s="109"/>
    <row r="32" ht="15.75" customHeight="1" s="109"/>
    <row r="33" ht="15.75" customHeight="1" s="109"/>
    <row r="34" ht="15.75" customHeight="1" s="109"/>
    <row r="35" ht="15.75" customHeight="1" s="109"/>
    <row r="36" ht="15.75" customHeight="1" s="109"/>
    <row r="37" ht="15.75" customHeight="1" s="109"/>
    <row r="38" ht="15.75" customHeight="1" s="109"/>
    <row r="39" ht="15.75" customHeight="1" s="109"/>
    <row r="40" ht="15.75" customHeight="1" s="109"/>
    <row r="41" ht="15.75" customHeight="1" s="109"/>
    <row r="42" ht="15.75" customHeight="1" s="109"/>
    <row r="43" ht="15.75" customHeight="1" s="109"/>
    <row r="44" ht="15.75" customHeight="1" s="109"/>
    <row r="45" ht="15.75" customHeight="1" s="109"/>
    <row r="46" ht="15.75" customHeight="1" s="109"/>
    <row r="47" ht="15.75" customHeight="1" s="109"/>
    <row r="48" ht="15.75" customHeight="1" s="109"/>
    <row r="49" ht="15.75" customHeight="1" s="109"/>
    <row r="50" ht="15.75" customHeight="1" s="109"/>
    <row r="51" ht="15.75" customHeight="1" s="109"/>
    <row r="52" ht="15.75" customHeight="1" s="109"/>
    <row r="53" ht="15.75" customHeight="1" s="109"/>
    <row r="54" ht="15.75" customHeight="1" s="109"/>
    <row r="55" ht="15.75" customHeight="1" s="109"/>
    <row r="56" ht="15.75" customHeight="1" s="109"/>
    <row r="57" ht="15.75" customHeight="1" s="109"/>
    <row r="58" ht="15.75" customHeight="1" s="109"/>
    <row r="59" ht="15.75" customHeight="1" s="109"/>
    <row r="60" ht="15.75" customHeight="1" s="109"/>
    <row r="61" ht="15.75" customHeight="1" s="109"/>
    <row r="62" ht="15.75" customHeight="1" s="109"/>
    <row r="63" ht="15.75" customHeight="1" s="109"/>
    <row r="64" ht="15.75" customHeight="1" s="109"/>
    <row r="65" ht="15.75" customHeight="1" s="109"/>
    <row r="66" ht="15.75" customHeight="1" s="109"/>
    <row r="67" ht="15.75" customHeight="1" s="109"/>
    <row r="68" ht="15.75" customHeight="1" s="109"/>
    <row r="69" ht="15.75" customHeight="1" s="109"/>
    <row r="70" ht="15.75" customHeight="1" s="109"/>
    <row r="71" ht="15.75" customHeight="1" s="109"/>
    <row r="72" ht="15.75" customHeight="1" s="109"/>
    <row r="73" ht="15.75" customHeight="1" s="109"/>
    <row r="74" ht="15.75" customHeight="1" s="109"/>
    <row r="75" ht="15.75" customHeight="1" s="109"/>
    <row r="76" ht="15.75" customHeight="1" s="109"/>
    <row r="77" ht="15.75" customHeight="1" s="109"/>
    <row r="78" ht="15.75" customHeight="1" s="109"/>
    <row r="79" ht="15.75" customHeight="1" s="109"/>
    <row r="80" ht="15.75" customHeight="1" s="109"/>
    <row r="81" ht="15.75" customHeight="1" s="109"/>
    <row r="82" ht="15.75" customHeight="1" s="109"/>
    <row r="83" ht="15.75" customHeight="1" s="109"/>
    <row r="84" ht="15.75" customHeight="1" s="109"/>
    <row r="85" ht="15.75" customHeight="1" s="109"/>
    <row r="86" ht="15.75" customHeight="1" s="109"/>
    <row r="87" ht="15.75" customHeight="1" s="109"/>
    <row r="88" ht="15.75" customHeight="1" s="109"/>
    <row r="89" ht="15.75" customHeight="1" s="109"/>
    <row r="90" ht="15.75" customHeight="1" s="109"/>
    <row r="91" ht="15.75" customHeight="1" s="109"/>
    <row r="92" ht="15.75" customHeight="1" s="109"/>
    <row r="93" ht="15.75" customHeight="1" s="109"/>
    <row r="94" ht="15.75" customHeight="1" s="109"/>
    <row r="95" ht="15.75" customHeight="1" s="109"/>
    <row r="96" ht="15.75" customHeight="1" s="109"/>
    <row r="97" ht="15.75" customHeight="1" s="109"/>
    <row r="98" ht="15.75" customHeight="1" s="109"/>
    <row r="99" ht="15.75" customHeight="1" s="109"/>
    <row r="100" ht="15.75" customHeight="1" s="109"/>
    <row r="101" ht="15.75" customHeight="1" s="109"/>
    <row r="102" ht="15.75" customHeight="1" s="109"/>
    <row r="103" ht="15.75" customHeight="1" s="109"/>
    <row r="104" ht="15.75" customHeight="1" s="109"/>
    <row r="105" ht="15.75" customHeight="1" s="109"/>
    <row r="106" ht="15.75" customHeight="1" s="109"/>
    <row r="107" ht="15.75" customHeight="1" s="109"/>
    <row r="108" ht="15.75" customHeight="1" s="109"/>
    <row r="109" ht="15.75" customHeight="1" s="109"/>
    <row r="110" ht="15.75" customHeight="1" s="109"/>
    <row r="111" ht="15.75" customHeight="1" s="109"/>
    <row r="112" ht="15.75" customHeight="1" s="109"/>
    <row r="113" ht="15.75" customHeight="1" s="109"/>
    <row r="114" ht="15.75" customHeight="1" s="109"/>
    <row r="115" ht="15.75" customHeight="1" s="109"/>
    <row r="116" ht="15.75" customHeight="1" s="109"/>
    <row r="117" ht="15.75" customHeight="1" s="109"/>
    <row r="118" ht="15.75" customHeight="1" s="109"/>
    <row r="119" ht="15.75" customHeight="1" s="109"/>
    <row r="120" ht="15.75" customHeight="1" s="109"/>
    <row r="121" ht="15.75" customHeight="1" s="109"/>
    <row r="122" ht="15.75" customHeight="1" s="109"/>
    <row r="123" ht="15.75" customHeight="1" s="109"/>
    <row r="124" ht="15.75" customHeight="1" s="109"/>
    <row r="125" ht="15.75" customHeight="1" s="109"/>
    <row r="126" ht="15.75" customHeight="1" s="109"/>
    <row r="127" ht="15.75" customHeight="1" s="109"/>
    <row r="128" ht="15.75" customHeight="1" s="109"/>
    <row r="129" ht="15.75" customHeight="1" s="109"/>
    <row r="130" ht="15.75" customHeight="1" s="109"/>
    <row r="131" ht="15.75" customHeight="1" s="109"/>
    <row r="132" ht="15.75" customHeight="1" s="109"/>
    <row r="133" ht="15.75" customHeight="1" s="109"/>
    <row r="134" ht="15.75" customHeight="1" s="109"/>
    <row r="135" ht="15.75" customHeight="1" s="109"/>
    <row r="136" ht="15.75" customHeight="1" s="109"/>
    <row r="137" ht="15.75" customHeight="1" s="109"/>
    <row r="138" ht="15.75" customHeight="1" s="109"/>
    <row r="139" ht="15.75" customHeight="1" s="109"/>
    <row r="140" ht="15.75" customHeight="1" s="109"/>
    <row r="141" ht="15.75" customHeight="1" s="109"/>
    <row r="142" ht="15.75" customHeight="1" s="109"/>
    <row r="143" ht="15.75" customHeight="1" s="109"/>
    <row r="144" ht="15.75" customHeight="1" s="109"/>
    <row r="145" ht="15.75" customHeight="1" s="109"/>
    <row r="146" ht="15.75" customHeight="1" s="109"/>
    <row r="147" ht="15.75" customHeight="1" s="109"/>
    <row r="148" ht="15.75" customHeight="1" s="109"/>
    <row r="149" ht="15.75" customHeight="1" s="109"/>
    <row r="150" ht="15.75" customHeight="1" s="109"/>
    <row r="151" ht="15.75" customHeight="1" s="109"/>
    <row r="152" ht="15.75" customHeight="1" s="109"/>
    <row r="153" ht="15.75" customHeight="1" s="109"/>
    <row r="154" ht="15.75" customHeight="1" s="109"/>
    <row r="155" ht="15.75" customHeight="1" s="109"/>
    <row r="156" ht="15.75" customHeight="1" s="109"/>
    <row r="157" ht="15.75" customHeight="1" s="109"/>
    <row r="158" ht="15.75" customHeight="1" s="109"/>
    <row r="159" ht="15.75" customHeight="1" s="109"/>
    <row r="160" ht="15.75" customHeight="1" s="109"/>
    <row r="161" ht="15.75" customHeight="1" s="109"/>
    <row r="162" ht="15.75" customHeight="1" s="109"/>
    <row r="163" ht="15.75" customHeight="1" s="109"/>
    <row r="164" ht="15.75" customHeight="1" s="109"/>
    <row r="165" ht="15.75" customHeight="1" s="109"/>
    <row r="166" ht="15.75" customHeight="1" s="109"/>
    <row r="167" ht="15.75" customHeight="1" s="109"/>
    <row r="168" ht="15.75" customHeight="1" s="109"/>
    <row r="169" ht="15.75" customHeight="1" s="109"/>
    <row r="170" ht="15.75" customHeight="1" s="109"/>
    <row r="171" ht="15.75" customHeight="1" s="109"/>
    <row r="172" ht="15.75" customHeight="1" s="109"/>
    <row r="173" ht="15.75" customHeight="1" s="109"/>
    <row r="174" ht="15.75" customHeight="1" s="109"/>
    <row r="175" ht="15.75" customHeight="1" s="109"/>
    <row r="176" ht="15.75" customHeight="1" s="109"/>
    <row r="177" ht="15.75" customHeight="1" s="109"/>
    <row r="178" ht="15.75" customHeight="1" s="109"/>
    <row r="179" ht="15.75" customHeight="1" s="109"/>
    <row r="180" ht="15.75" customHeight="1" s="109"/>
    <row r="181" ht="15.75" customHeight="1" s="109"/>
    <row r="182" ht="15.75" customHeight="1" s="109"/>
    <row r="183" ht="15.75" customHeight="1" s="109"/>
    <row r="184" ht="15.75" customHeight="1" s="109"/>
    <row r="185" ht="15.75" customHeight="1" s="109"/>
    <row r="186" ht="15.75" customHeight="1" s="109"/>
    <row r="187" ht="15.75" customHeight="1" s="109"/>
    <row r="188" ht="15.75" customHeight="1" s="109"/>
    <row r="189" ht="15.75" customHeight="1" s="109"/>
    <row r="190" ht="15.75" customHeight="1" s="109"/>
    <row r="191" ht="15.75" customHeight="1" s="109"/>
    <row r="192" ht="15.75" customHeight="1" s="109"/>
    <row r="193" ht="15.75" customHeight="1" s="109"/>
    <row r="194" ht="15.75" customHeight="1" s="109"/>
    <row r="195" ht="15.75" customHeight="1" s="109"/>
    <row r="196" ht="15.75" customHeight="1" s="109"/>
    <row r="197" ht="15.75" customHeight="1" s="109"/>
    <row r="198" ht="15.75" customHeight="1" s="109"/>
    <row r="199" ht="15.75" customHeight="1" s="109"/>
    <row r="200" ht="15.75" customHeight="1" s="109"/>
    <row r="201" ht="15.75" customHeight="1" s="109"/>
    <row r="202" ht="15.75" customHeight="1" s="109"/>
    <row r="203" ht="15.75" customHeight="1" s="109"/>
    <row r="204" ht="15.75" customHeight="1" s="109"/>
    <row r="205" ht="15.75" customHeight="1" s="109"/>
    <row r="206" ht="15.75" customHeight="1" s="109"/>
    <row r="207" ht="15.75" customHeight="1" s="109"/>
    <row r="208" ht="15.75" customHeight="1" s="109"/>
    <row r="209" ht="15.75" customHeight="1" s="109"/>
    <row r="210" ht="15.75" customHeight="1" s="109"/>
    <row r="211" ht="15.75" customHeight="1" s="109"/>
    <row r="212" ht="15.75" customHeight="1" s="109"/>
    <row r="213" ht="15.75" customHeight="1" s="109"/>
    <row r="214" ht="15.75" customHeight="1" s="109"/>
    <row r="215" ht="15.75" customHeight="1" s="109"/>
    <row r="216" ht="15.75" customHeight="1" s="109"/>
    <row r="217" ht="15.75" customHeight="1" s="109"/>
    <row r="218" ht="15.75" customHeight="1" s="109"/>
    <row r="219" ht="15.75" customHeight="1" s="109"/>
    <row r="220" ht="15.75" customHeight="1" s="109"/>
    <row r="221" ht="15.75" customHeight="1" s="109"/>
    <row r="222" ht="15.75" customHeight="1" s="109"/>
    <row r="223" ht="15.75" customHeight="1" s="109"/>
    <row r="224" ht="15.75" customHeight="1" s="109"/>
    <row r="225" ht="15.75" customHeight="1" s="109"/>
    <row r="226" ht="15.75" customHeight="1" s="109"/>
    <row r="227" ht="15.75" customHeight="1" s="109"/>
    <row r="228" ht="15.75" customHeight="1" s="109"/>
    <row r="229" ht="15.75" customHeight="1" s="109"/>
    <row r="230" ht="15.75" customHeight="1" s="109"/>
    <row r="231" ht="15.75" customHeight="1" s="109"/>
    <row r="232" ht="15.75" customHeight="1" s="109"/>
    <row r="233" ht="15.75" customHeight="1" s="109"/>
    <row r="234" ht="15.75" customHeight="1" s="109"/>
    <row r="235" ht="15.75" customHeight="1" s="109"/>
    <row r="236" ht="15.75" customHeight="1" s="109"/>
    <row r="237" ht="15.75" customHeight="1" s="109"/>
    <row r="238" ht="15.75" customHeight="1" s="109"/>
    <row r="239" ht="15.75" customHeight="1" s="109"/>
    <row r="240" ht="15.75" customHeight="1" s="109"/>
    <row r="241" ht="15.75" customHeight="1" s="109"/>
    <row r="242" ht="15.75" customHeight="1" s="109"/>
    <row r="243" ht="15.75" customHeight="1" s="109"/>
    <row r="244" ht="15.75" customHeight="1" s="109"/>
    <row r="245" ht="15.75" customHeight="1" s="109"/>
    <row r="246" ht="15.75" customHeight="1" s="109"/>
    <row r="247" ht="15.75" customHeight="1" s="109"/>
    <row r="248" ht="15.75" customHeight="1" s="109"/>
    <row r="249" ht="15.75" customHeight="1" s="109"/>
    <row r="250" ht="15.75" customHeight="1" s="109"/>
    <row r="251" ht="15.75" customHeight="1" s="109"/>
    <row r="252" ht="15.75" customHeight="1" s="109"/>
    <row r="253" ht="15.75" customHeight="1" s="109"/>
    <row r="254" ht="15.75" customHeight="1" s="109"/>
    <row r="255" ht="15.75" customHeight="1" s="109"/>
    <row r="256" ht="15.75" customHeight="1" s="109"/>
    <row r="257" ht="15.75" customHeight="1" s="109"/>
    <row r="258" ht="15.75" customHeight="1" s="109"/>
    <row r="259" ht="15.75" customHeight="1" s="109"/>
    <row r="260" ht="15.75" customHeight="1" s="109"/>
    <row r="261" ht="15.75" customHeight="1" s="109"/>
    <row r="262" ht="15.75" customHeight="1" s="109"/>
    <row r="263" ht="15.75" customHeight="1" s="109"/>
    <row r="264" ht="15.75" customHeight="1" s="109"/>
    <row r="265" ht="15.75" customHeight="1" s="109"/>
    <row r="266" ht="15.75" customHeight="1" s="109"/>
    <row r="267" ht="15.75" customHeight="1" s="109"/>
    <row r="268" ht="15.75" customHeight="1" s="109"/>
    <row r="269" ht="15.75" customHeight="1" s="109"/>
    <row r="270" ht="15.75" customHeight="1" s="109"/>
    <row r="271" ht="15.75" customHeight="1" s="109"/>
    <row r="272" ht="15.75" customHeight="1" s="109"/>
    <row r="273" ht="15.75" customHeight="1" s="109"/>
    <row r="274" ht="15.75" customHeight="1" s="109"/>
    <row r="275" ht="15.75" customHeight="1" s="109"/>
    <row r="276" ht="15.75" customHeight="1" s="109"/>
    <row r="277" ht="15.75" customHeight="1" s="109"/>
    <row r="278" ht="15.75" customHeight="1" s="109"/>
    <row r="279" ht="15.75" customHeight="1" s="109"/>
    <row r="280" ht="15.75" customHeight="1" s="109"/>
    <row r="281" ht="15.75" customHeight="1" s="109"/>
    <row r="282" ht="15.75" customHeight="1" s="109"/>
    <row r="283" ht="15.75" customHeight="1" s="109"/>
    <row r="284" ht="15.75" customHeight="1" s="109"/>
    <row r="285" ht="15.75" customHeight="1" s="109"/>
    <row r="286" ht="15.75" customHeight="1" s="109"/>
    <row r="287" ht="15.75" customHeight="1" s="109"/>
    <row r="288" ht="15.75" customHeight="1" s="109"/>
    <row r="289" ht="15.75" customHeight="1" s="109"/>
    <row r="290" ht="15.75" customHeight="1" s="109"/>
    <row r="291" ht="15.75" customHeight="1" s="109"/>
    <row r="292" ht="15.75" customHeight="1" s="109"/>
    <row r="293" ht="15.75" customHeight="1" s="109"/>
    <row r="294" ht="15.75" customHeight="1" s="109"/>
    <row r="295" ht="15.75" customHeight="1" s="109"/>
    <row r="296" ht="15.75" customHeight="1" s="109"/>
    <row r="297" ht="15.75" customHeight="1" s="109"/>
    <row r="298" ht="15.75" customHeight="1" s="109"/>
    <row r="299" ht="15.75" customHeight="1" s="109"/>
    <row r="300" ht="15.75" customHeight="1" s="109"/>
    <row r="301" ht="15.75" customHeight="1" s="109"/>
    <row r="302" ht="15.75" customHeight="1" s="109"/>
    <row r="303" ht="15.75" customHeight="1" s="109"/>
    <row r="304" ht="15.75" customHeight="1" s="109"/>
    <row r="305" ht="15.75" customHeight="1" s="109"/>
    <row r="306" ht="15.75" customHeight="1" s="109"/>
    <row r="307" ht="15.75" customHeight="1" s="109"/>
    <row r="308" ht="15.75" customHeight="1" s="109"/>
    <row r="309" ht="15.75" customHeight="1" s="109"/>
    <row r="310" ht="15.75" customHeight="1" s="109"/>
    <row r="311" ht="15.75" customHeight="1" s="109"/>
    <row r="312" ht="15.75" customHeight="1" s="109"/>
    <row r="313" ht="15.75" customHeight="1" s="109"/>
    <row r="314" ht="15.75" customHeight="1" s="109"/>
    <row r="315" ht="15.75" customHeight="1" s="109"/>
    <row r="316" ht="15.75" customHeight="1" s="109"/>
    <row r="317" ht="15.75" customHeight="1" s="109"/>
    <row r="318" ht="15.75" customHeight="1" s="109"/>
    <row r="319" ht="15.75" customHeight="1" s="109"/>
    <row r="320" ht="15.75" customHeight="1" s="109"/>
    <row r="321" ht="15.75" customHeight="1" s="109"/>
    <row r="322" ht="15.75" customHeight="1" s="109"/>
    <row r="323" ht="15.75" customHeight="1" s="109"/>
    <row r="324" ht="15.75" customHeight="1" s="109"/>
    <row r="325" ht="15.75" customHeight="1" s="109"/>
    <row r="326" ht="15.75" customHeight="1" s="109"/>
    <row r="327" ht="15.75" customHeight="1" s="109"/>
    <row r="328" ht="15.75" customHeight="1" s="109"/>
    <row r="329" ht="15.75" customHeight="1" s="109"/>
    <row r="330" ht="15.75" customHeight="1" s="109"/>
    <row r="331" ht="15.75" customHeight="1" s="109"/>
    <row r="332" ht="15.75" customHeight="1" s="109"/>
    <row r="333" ht="15.75" customHeight="1" s="109"/>
    <row r="334" ht="15.75" customHeight="1" s="109"/>
    <row r="335" ht="15.75" customHeight="1" s="109"/>
    <row r="336" ht="15.75" customHeight="1" s="109"/>
    <row r="337" ht="15.75" customHeight="1" s="109"/>
    <row r="338" ht="15.75" customHeight="1" s="109"/>
    <row r="339" ht="15.75" customHeight="1" s="109"/>
    <row r="340" ht="15.75" customHeight="1" s="109"/>
    <row r="341" ht="15.75" customHeight="1" s="109"/>
    <row r="342" ht="15.75" customHeight="1" s="109"/>
    <row r="343" ht="15.75" customHeight="1" s="109"/>
    <row r="344" ht="15.75" customHeight="1" s="109"/>
    <row r="345" ht="15.75" customHeight="1" s="109"/>
    <row r="346" ht="15.75" customHeight="1" s="109"/>
    <row r="347" ht="15.75" customHeight="1" s="109"/>
    <row r="348" ht="15.75" customHeight="1" s="109"/>
    <row r="349" ht="15.75" customHeight="1" s="109"/>
    <row r="350" ht="15.75" customHeight="1" s="109"/>
    <row r="351" ht="15.75" customHeight="1" s="109"/>
    <row r="352" ht="15.75" customHeight="1" s="109"/>
    <row r="353" ht="15.75" customHeight="1" s="109"/>
    <row r="354" ht="15.75" customHeight="1" s="109"/>
    <row r="355" ht="15.75" customHeight="1" s="109"/>
    <row r="356" ht="15.75" customHeight="1" s="109"/>
    <row r="357" ht="15.75" customHeight="1" s="109"/>
    <row r="358" ht="15.75" customHeight="1" s="109"/>
    <row r="359" ht="15.75" customHeight="1" s="109"/>
    <row r="360" ht="15.75" customHeight="1" s="109"/>
    <row r="361" ht="15.75" customHeight="1" s="109"/>
    <row r="362" ht="15.75" customHeight="1" s="109"/>
    <row r="363" ht="15.75" customHeight="1" s="109"/>
    <row r="364" ht="15.75" customHeight="1" s="109"/>
    <row r="365" ht="15.75" customHeight="1" s="109"/>
    <row r="366" ht="15.75" customHeight="1" s="109"/>
    <row r="367" ht="15.75" customHeight="1" s="109"/>
    <row r="368" ht="15.75" customHeight="1" s="109"/>
    <row r="369" ht="15.75" customHeight="1" s="109"/>
    <row r="370" ht="15.75" customHeight="1" s="109"/>
    <row r="371" ht="15.75" customHeight="1" s="109"/>
    <row r="372" ht="15.75" customHeight="1" s="109"/>
    <row r="373" ht="15.75" customHeight="1" s="109"/>
    <row r="374" ht="15.75" customHeight="1" s="109"/>
    <row r="375" ht="15.75" customHeight="1" s="109"/>
    <row r="376" ht="15.75" customHeight="1" s="109"/>
    <row r="377" ht="15.75" customHeight="1" s="109"/>
    <row r="378" ht="15.75" customHeight="1" s="109"/>
    <row r="379" ht="15.75" customHeight="1" s="109"/>
    <row r="380" ht="15.75" customHeight="1" s="109"/>
    <row r="381" ht="15.75" customHeight="1" s="109"/>
    <row r="382" ht="15.75" customHeight="1" s="109"/>
    <row r="383" ht="15.75" customHeight="1" s="109"/>
    <row r="384" ht="15.75" customHeight="1" s="109"/>
    <row r="385" ht="15.75" customHeight="1" s="109"/>
    <row r="386" ht="15.75" customHeight="1" s="109"/>
    <row r="387" ht="15.75" customHeight="1" s="109"/>
    <row r="388" ht="15.75" customHeight="1" s="109"/>
    <row r="389" ht="15.75" customHeight="1" s="109"/>
    <row r="390" ht="15.75" customHeight="1" s="109"/>
    <row r="391" ht="15.75" customHeight="1" s="109"/>
    <row r="392" ht="15.75" customHeight="1" s="109"/>
    <row r="393" ht="15.75" customHeight="1" s="109"/>
    <row r="394" ht="15.75" customHeight="1" s="109"/>
    <row r="395" ht="15.75" customHeight="1" s="109"/>
    <row r="396" ht="15.75" customHeight="1" s="109"/>
    <row r="397" ht="15.75" customHeight="1" s="109"/>
    <row r="398" ht="15.75" customHeight="1" s="109"/>
    <row r="399" ht="15.75" customHeight="1" s="109"/>
    <row r="400" ht="15.75" customHeight="1" s="109"/>
    <row r="401" ht="15.75" customHeight="1" s="109"/>
    <row r="402" ht="15.75" customHeight="1" s="109"/>
    <row r="403" ht="15.75" customHeight="1" s="109"/>
    <row r="404" ht="15.75" customHeight="1" s="109"/>
    <row r="405" ht="15.75" customHeight="1" s="109"/>
    <row r="406" ht="15.75" customHeight="1" s="109"/>
    <row r="407" ht="15.75" customHeight="1" s="109"/>
    <row r="408" ht="15.75" customHeight="1" s="109"/>
    <row r="409" ht="15.75" customHeight="1" s="109"/>
    <row r="410" ht="15.75" customHeight="1" s="109"/>
    <row r="411" ht="15.75" customHeight="1" s="109"/>
    <row r="412" ht="15.75" customHeight="1" s="109"/>
    <row r="413" ht="15.75" customHeight="1" s="109"/>
    <row r="414" ht="15.75" customHeight="1" s="109"/>
    <row r="415" ht="15.75" customHeight="1" s="109"/>
    <row r="416" ht="15.75" customHeight="1" s="109"/>
    <row r="417" ht="15.75" customHeight="1" s="109"/>
    <row r="418" ht="15.75" customHeight="1" s="109"/>
    <row r="419" ht="15.75" customHeight="1" s="109"/>
    <row r="420" ht="15.75" customHeight="1" s="109"/>
    <row r="421" ht="15.75" customHeight="1" s="109"/>
    <row r="422" ht="15.75" customHeight="1" s="109"/>
    <row r="423" ht="15.75" customHeight="1" s="109"/>
    <row r="424" ht="15.75" customHeight="1" s="109"/>
    <row r="425" ht="15.75" customHeight="1" s="109"/>
    <row r="426" ht="15.75" customHeight="1" s="109"/>
    <row r="427" ht="15.75" customHeight="1" s="109"/>
    <row r="428" ht="15.75" customHeight="1" s="109"/>
    <row r="429" ht="15.75" customHeight="1" s="109"/>
    <row r="430" ht="15.75" customHeight="1" s="109"/>
    <row r="431" ht="15.75" customHeight="1" s="109"/>
    <row r="432" ht="15.75" customHeight="1" s="109"/>
    <row r="433" ht="15.75" customHeight="1" s="109"/>
    <row r="434" ht="15.75" customHeight="1" s="109"/>
    <row r="435" ht="15.75" customHeight="1" s="109"/>
    <row r="436" ht="15.75" customHeight="1" s="109"/>
    <row r="437" ht="15.75" customHeight="1" s="109"/>
    <row r="438" ht="15.75" customHeight="1" s="109"/>
    <row r="439" ht="15.75" customHeight="1" s="109"/>
    <row r="440" ht="15.75" customHeight="1" s="109"/>
    <row r="441" ht="15.75" customHeight="1" s="109"/>
    <row r="442" ht="15.75" customHeight="1" s="109"/>
    <row r="443" ht="15.75" customHeight="1" s="109"/>
    <row r="444" ht="15.75" customHeight="1" s="109"/>
    <row r="445" ht="15.75" customHeight="1" s="109"/>
    <row r="446" ht="15.75" customHeight="1" s="109"/>
    <row r="447" ht="15.75" customHeight="1" s="109"/>
    <row r="448" ht="15.75" customHeight="1" s="109"/>
    <row r="449" ht="15.75" customHeight="1" s="109"/>
    <row r="450" ht="15.75" customHeight="1" s="109"/>
    <row r="451" ht="15.75" customHeight="1" s="109"/>
    <row r="452" ht="15.75" customHeight="1" s="109"/>
    <row r="453" ht="15.75" customHeight="1" s="109"/>
    <row r="454" ht="15.75" customHeight="1" s="109"/>
    <row r="455" ht="15.75" customHeight="1" s="109"/>
    <row r="456" ht="15.75" customHeight="1" s="109"/>
    <row r="457" ht="15.75" customHeight="1" s="109"/>
    <row r="458" ht="15.75" customHeight="1" s="109"/>
    <row r="459" ht="15.75" customHeight="1" s="109"/>
    <row r="460" ht="15.75" customHeight="1" s="109"/>
    <row r="461" ht="15.75" customHeight="1" s="109"/>
    <row r="462" ht="15.75" customHeight="1" s="109"/>
    <row r="463" ht="15.75" customHeight="1" s="109"/>
    <row r="464" ht="15.75" customHeight="1" s="109"/>
    <row r="465" ht="15.75" customHeight="1" s="109"/>
    <row r="466" ht="15.75" customHeight="1" s="109"/>
    <row r="467" ht="15.75" customHeight="1" s="109"/>
    <row r="468" ht="15.75" customHeight="1" s="109"/>
    <row r="469" ht="15.75" customHeight="1" s="109"/>
    <row r="470" ht="15.75" customHeight="1" s="109"/>
    <row r="471" ht="15.75" customHeight="1" s="109"/>
    <row r="472" ht="15.75" customHeight="1" s="109"/>
    <row r="473" ht="15.75" customHeight="1" s="109"/>
    <row r="474" ht="15.75" customHeight="1" s="109"/>
    <row r="475" ht="15.75" customHeight="1" s="109"/>
    <row r="476" ht="15.75" customHeight="1" s="109"/>
    <row r="477" ht="15.75" customHeight="1" s="109"/>
    <row r="478" ht="15.75" customHeight="1" s="109"/>
    <row r="479" ht="15.75" customHeight="1" s="109"/>
    <row r="480" ht="15.75" customHeight="1" s="109"/>
    <row r="481" ht="15.75" customHeight="1" s="109"/>
    <row r="482" ht="15.75" customHeight="1" s="109"/>
    <row r="483" ht="15.75" customHeight="1" s="109"/>
    <row r="484" ht="15.75" customHeight="1" s="109"/>
    <row r="485" ht="15.75" customHeight="1" s="109"/>
    <row r="486" ht="15.75" customHeight="1" s="109"/>
    <row r="487" ht="15.75" customHeight="1" s="109"/>
    <row r="488" ht="15.75" customHeight="1" s="109"/>
    <row r="489" ht="15.75" customHeight="1" s="109"/>
    <row r="490" ht="15.75" customHeight="1" s="109"/>
    <row r="491" ht="15.75" customHeight="1" s="109"/>
    <row r="492" ht="15.75" customHeight="1" s="109"/>
    <row r="493" ht="15.75" customHeight="1" s="109"/>
    <row r="494" ht="15.75" customHeight="1" s="109"/>
    <row r="495" ht="15.75" customHeight="1" s="109"/>
    <row r="496" ht="15.75" customHeight="1" s="109"/>
    <row r="497" ht="15.75" customHeight="1" s="109"/>
    <row r="498" ht="15.75" customHeight="1" s="109"/>
    <row r="499" ht="15.75" customHeight="1" s="109"/>
    <row r="500" ht="15.75" customHeight="1" s="109"/>
    <row r="501" ht="15.75" customHeight="1" s="109"/>
    <row r="502" ht="15.75" customHeight="1" s="109"/>
    <row r="503" ht="15.75" customHeight="1" s="109"/>
    <row r="504" ht="15.75" customHeight="1" s="109"/>
    <row r="505" ht="15.75" customHeight="1" s="109"/>
    <row r="506" ht="15.75" customHeight="1" s="109"/>
    <row r="507" ht="15.75" customHeight="1" s="109"/>
    <row r="508" ht="15.75" customHeight="1" s="109"/>
    <row r="509" ht="15.75" customHeight="1" s="109"/>
    <row r="510" ht="15.75" customHeight="1" s="109"/>
    <row r="511" ht="15.75" customHeight="1" s="109"/>
    <row r="512" ht="15.75" customHeight="1" s="109"/>
    <row r="513" ht="15.75" customHeight="1" s="109"/>
    <row r="514" ht="15.75" customHeight="1" s="109"/>
    <row r="515" ht="15.75" customHeight="1" s="109"/>
    <row r="516" ht="15.75" customHeight="1" s="109"/>
    <row r="517" ht="15.75" customHeight="1" s="109"/>
    <row r="518" ht="15.75" customHeight="1" s="109"/>
    <row r="519" ht="15.75" customHeight="1" s="109"/>
    <row r="520" ht="15.75" customHeight="1" s="109"/>
    <row r="521" ht="15.75" customHeight="1" s="109"/>
    <row r="522" ht="15.75" customHeight="1" s="109"/>
    <row r="523" ht="15.75" customHeight="1" s="109"/>
    <row r="524" ht="15.75" customHeight="1" s="109"/>
    <row r="525" ht="15.75" customHeight="1" s="109"/>
    <row r="526" ht="15.75" customHeight="1" s="109"/>
    <row r="527" ht="15.75" customHeight="1" s="109"/>
    <row r="528" ht="15.75" customHeight="1" s="109"/>
    <row r="529" ht="15.75" customHeight="1" s="109"/>
    <row r="530" ht="15.75" customHeight="1" s="109"/>
    <row r="531" ht="15.75" customHeight="1" s="109"/>
    <row r="532" ht="15.75" customHeight="1" s="109"/>
    <row r="533" ht="15.75" customHeight="1" s="109"/>
    <row r="534" ht="15.75" customHeight="1" s="109"/>
    <row r="535" ht="15.75" customHeight="1" s="109"/>
    <row r="536" ht="15.75" customHeight="1" s="109"/>
    <row r="537" ht="15.75" customHeight="1" s="109"/>
    <row r="538" ht="15.75" customHeight="1" s="109"/>
    <row r="539" ht="15.75" customHeight="1" s="109"/>
    <row r="540" ht="15.75" customHeight="1" s="109"/>
    <row r="541" ht="15.75" customHeight="1" s="109"/>
    <row r="542" ht="15.75" customHeight="1" s="109"/>
    <row r="543" ht="15.75" customHeight="1" s="109"/>
    <row r="544" ht="15.75" customHeight="1" s="109"/>
    <row r="545" ht="15.75" customHeight="1" s="109"/>
    <row r="546" ht="15.75" customHeight="1" s="109"/>
    <row r="547" ht="15.75" customHeight="1" s="109"/>
    <row r="548" ht="15.75" customHeight="1" s="109"/>
    <row r="549" ht="15.75" customHeight="1" s="109"/>
    <row r="550" ht="15.75" customHeight="1" s="109"/>
    <row r="551" ht="15.75" customHeight="1" s="109"/>
    <row r="552" ht="15.75" customHeight="1" s="109"/>
    <row r="553" ht="15.75" customHeight="1" s="109"/>
    <row r="554" ht="15.75" customHeight="1" s="109"/>
    <row r="555" ht="15.75" customHeight="1" s="109"/>
    <row r="556" ht="15.75" customHeight="1" s="109"/>
    <row r="557" ht="15.75" customHeight="1" s="109"/>
    <row r="558" ht="15.75" customHeight="1" s="109"/>
    <row r="559" ht="15.75" customHeight="1" s="109"/>
    <row r="560" ht="15.75" customHeight="1" s="109"/>
    <row r="561" ht="15.75" customHeight="1" s="109"/>
    <row r="562" ht="15.75" customHeight="1" s="109"/>
    <row r="563" ht="15.75" customHeight="1" s="109"/>
    <row r="564" ht="15.75" customHeight="1" s="109"/>
    <row r="565" ht="15.75" customHeight="1" s="109"/>
    <row r="566" ht="15.75" customHeight="1" s="109"/>
    <row r="567" ht="15.75" customHeight="1" s="109"/>
    <row r="568" ht="15.75" customHeight="1" s="109"/>
    <row r="569" ht="15.75" customHeight="1" s="109"/>
    <row r="570" ht="15.75" customHeight="1" s="109"/>
    <row r="571" ht="15.75" customHeight="1" s="109"/>
    <row r="572" ht="15.75" customHeight="1" s="109"/>
    <row r="573" ht="15.75" customHeight="1" s="109"/>
    <row r="574" ht="15.75" customHeight="1" s="109"/>
    <row r="575" ht="15.75" customHeight="1" s="109"/>
    <row r="576" ht="15.75" customHeight="1" s="109"/>
    <row r="577" ht="15.75" customHeight="1" s="109"/>
    <row r="578" ht="15.75" customHeight="1" s="109"/>
    <row r="579" ht="15.75" customHeight="1" s="109"/>
    <row r="580" ht="15.75" customHeight="1" s="109"/>
    <row r="581" ht="15.75" customHeight="1" s="109"/>
    <row r="582" ht="15.75" customHeight="1" s="109"/>
    <row r="583" ht="15.75" customHeight="1" s="109"/>
    <row r="584" ht="15.75" customHeight="1" s="109"/>
    <row r="585" ht="15.75" customHeight="1" s="109"/>
    <row r="586" ht="15.75" customHeight="1" s="109"/>
    <row r="587" ht="15.75" customHeight="1" s="109"/>
    <row r="588" ht="15.75" customHeight="1" s="109"/>
    <row r="589" ht="15.75" customHeight="1" s="109"/>
    <row r="590" ht="15.75" customHeight="1" s="109"/>
    <row r="591" ht="15.75" customHeight="1" s="109"/>
    <row r="592" ht="15.75" customHeight="1" s="109"/>
    <row r="593" ht="15.75" customHeight="1" s="109"/>
    <row r="594" ht="15.75" customHeight="1" s="109"/>
    <row r="595" ht="15.75" customHeight="1" s="109"/>
    <row r="596" ht="15.75" customHeight="1" s="109"/>
    <row r="597" ht="15.75" customHeight="1" s="109"/>
    <row r="598" ht="15.75" customHeight="1" s="109"/>
    <row r="599" ht="15.75" customHeight="1" s="109"/>
    <row r="600" ht="15.75" customHeight="1" s="109"/>
    <row r="601" ht="15.75" customHeight="1" s="109"/>
    <row r="602" ht="15.75" customHeight="1" s="109"/>
    <row r="603" ht="15.75" customHeight="1" s="109"/>
    <row r="604" ht="15.75" customHeight="1" s="109"/>
    <row r="605" ht="15.75" customHeight="1" s="109"/>
    <row r="606" ht="15.75" customHeight="1" s="109"/>
    <row r="607" ht="15.75" customHeight="1" s="109"/>
    <row r="608" ht="15.75" customHeight="1" s="109"/>
    <row r="609" ht="15.75" customHeight="1" s="109"/>
    <row r="610" ht="15.75" customHeight="1" s="109"/>
    <row r="611" ht="15.75" customHeight="1" s="109"/>
    <row r="612" ht="15.75" customHeight="1" s="109"/>
    <row r="613" ht="15.75" customHeight="1" s="109"/>
    <row r="614" ht="15.75" customHeight="1" s="109"/>
    <row r="615" ht="15.75" customHeight="1" s="109"/>
    <row r="616" ht="15.75" customHeight="1" s="109"/>
    <row r="617" ht="15.75" customHeight="1" s="109"/>
    <row r="618" ht="15.75" customHeight="1" s="109"/>
    <row r="619" ht="15.75" customHeight="1" s="109"/>
    <row r="620" ht="15.75" customHeight="1" s="109"/>
    <row r="621" ht="15.75" customHeight="1" s="109"/>
    <row r="622" ht="15.75" customHeight="1" s="109"/>
    <row r="623" ht="15.75" customHeight="1" s="109"/>
    <row r="624" ht="15.75" customHeight="1" s="109"/>
    <row r="625" ht="15.75" customHeight="1" s="109"/>
    <row r="626" ht="15.75" customHeight="1" s="109"/>
    <row r="627" ht="15.75" customHeight="1" s="109"/>
    <row r="628" ht="15.75" customHeight="1" s="109"/>
    <row r="629" ht="15.75" customHeight="1" s="109"/>
    <row r="630" ht="15.75" customHeight="1" s="109"/>
    <row r="631" ht="15.75" customHeight="1" s="109"/>
    <row r="632" ht="15.75" customHeight="1" s="109"/>
    <row r="633" ht="15.75" customHeight="1" s="109"/>
    <row r="634" ht="15.75" customHeight="1" s="109"/>
    <row r="635" ht="15.75" customHeight="1" s="109"/>
    <row r="636" ht="15.75" customHeight="1" s="109"/>
    <row r="637" ht="15.75" customHeight="1" s="109"/>
    <row r="638" ht="15.75" customHeight="1" s="109"/>
    <row r="639" ht="15.75" customHeight="1" s="109"/>
    <row r="640" ht="15.75" customHeight="1" s="109"/>
    <row r="641" ht="15.75" customHeight="1" s="109"/>
    <row r="642" ht="15.75" customHeight="1" s="109"/>
    <row r="643" ht="15.75" customHeight="1" s="109"/>
    <row r="644" ht="15.75" customHeight="1" s="109"/>
    <row r="645" ht="15.75" customHeight="1" s="109"/>
    <row r="646" ht="15.75" customHeight="1" s="109"/>
    <row r="647" ht="15.75" customHeight="1" s="109"/>
    <row r="648" ht="15.75" customHeight="1" s="109"/>
    <row r="649" ht="15.75" customHeight="1" s="109"/>
    <row r="650" ht="15.75" customHeight="1" s="109"/>
    <row r="651" ht="15.75" customHeight="1" s="109"/>
    <row r="652" ht="15.75" customHeight="1" s="109"/>
    <row r="653" ht="15.75" customHeight="1" s="109"/>
    <row r="654" ht="15.75" customHeight="1" s="109"/>
    <row r="655" ht="15.75" customHeight="1" s="109"/>
    <row r="656" ht="15.75" customHeight="1" s="109"/>
    <row r="657" ht="15.75" customHeight="1" s="109"/>
    <row r="658" ht="15.75" customHeight="1" s="109"/>
    <row r="659" ht="15.75" customHeight="1" s="109"/>
    <row r="660" ht="15.75" customHeight="1" s="109"/>
    <row r="661" ht="15.75" customHeight="1" s="109"/>
    <row r="662" ht="15.75" customHeight="1" s="109"/>
    <row r="663" ht="15.75" customHeight="1" s="109"/>
    <row r="664" ht="15.75" customHeight="1" s="109"/>
    <row r="665" ht="15.75" customHeight="1" s="109"/>
    <row r="666" ht="15.75" customHeight="1" s="109"/>
    <row r="667" ht="15.75" customHeight="1" s="109"/>
    <row r="668" ht="15.75" customHeight="1" s="109"/>
    <row r="669" ht="15.75" customHeight="1" s="109"/>
    <row r="670" ht="15.75" customHeight="1" s="109"/>
    <row r="671" ht="15.75" customHeight="1" s="109"/>
    <row r="672" ht="15.75" customHeight="1" s="109"/>
    <row r="673" ht="15.75" customHeight="1" s="109"/>
    <row r="674" ht="15.75" customHeight="1" s="109"/>
    <row r="675" ht="15.75" customHeight="1" s="109"/>
    <row r="676" ht="15.75" customHeight="1" s="109"/>
    <row r="677" ht="15.75" customHeight="1" s="109"/>
    <row r="678" ht="15.75" customHeight="1" s="109"/>
    <row r="679" ht="15.75" customHeight="1" s="109"/>
    <row r="680" ht="15.75" customHeight="1" s="109"/>
    <row r="681" ht="15.75" customHeight="1" s="109"/>
    <row r="682" ht="15.75" customHeight="1" s="109"/>
    <row r="683" ht="15.75" customHeight="1" s="109"/>
    <row r="684" ht="15.75" customHeight="1" s="109"/>
    <row r="685" ht="15.75" customHeight="1" s="109"/>
    <row r="686" ht="15.75" customHeight="1" s="109"/>
    <row r="687" ht="15.75" customHeight="1" s="109"/>
    <row r="688" ht="15.75" customHeight="1" s="109"/>
    <row r="689" ht="15.75" customHeight="1" s="109"/>
    <row r="690" ht="15.75" customHeight="1" s="109"/>
    <row r="691" ht="15.75" customHeight="1" s="109"/>
    <row r="692" ht="15.75" customHeight="1" s="109"/>
    <row r="693" ht="15.75" customHeight="1" s="109"/>
    <row r="694" ht="15.75" customHeight="1" s="109"/>
    <row r="695" ht="15.75" customHeight="1" s="109"/>
    <row r="696" ht="15.75" customHeight="1" s="109"/>
    <row r="697" ht="15.75" customHeight="1" s="109"/>
    <row r="698" ht="15.75" customHeight="1" s="109"/>
    <row r="699" ht="15.75" customHeight="1" s="109"/>
    <row r="700" ht="15.75" customHeight="1" s="109"/>
    <row r="701" ht="15.75" customHeight="1" s="109"/>
    <row r="702" ht="15.75" customHeight="1" s="109"/>
    <row r="703" ht="15.75" customHeight="1" s="109"/>
    <row r="704" ht="15.75" customHeight="1" s="109"/>
    <row r="705" ht="15.75" customHeight="1" s="109"/>
    <row r="706" ht="15.75" customHeight="1" s="109"/>
    <row r="707" ht="15.75" customHeight="1" s="109"/>
    <row r="708" ht="15.75" customHeight="1" s="109"/>
    <row r="709" ht="15.75" customHeight="1" s="109"/>
    <row r="710" ht="15.75" customHeight="1" s="109"/>
    <row r="711" ht="15.75" customHeight="1" s="109"/>
    <row r="712" ht="15.75" customHeight="1" s="109"/>
    <row r="713" ht="15.75" customHeight="1" s="109"/>
    <row r="714" ht="15.75" customHeight="1" s="109"/>
    <row r="715" ht="15.75" customHeight="1" s="109"/>
    <row r="716" ht="15.75" customHeight="1" s="109"/>
    <row r="717" ht="15.75" customHeight="1" s="109"/>
    <row r="718" ht="15.75" customHeight="1" s="109"/>
    <row r="719" ht="15.75" customHeight="1" s="109"/>
    <row r="720" ht="15.75" customHeight="1" s="109"/>
    <row r="721" ht="15.75" customHeight="1" s="109"/>
    <row r="722" ht="15.75" customHeight="1" s="109"/>
    <row r="723" ht="15.75" customHeight="1" s="109"/>
    <row r="724" ht="15.75" customHeight="1" s="109"/>
    <row r="725" ht="15.75" customHeight="1" s="109"/>
    <row r="726" ht="15.75" customHeight="1" s="109"/>
    <row r="727" ht="15.75" customHeight="1" s="109"/>
    <row r="728" ht="15.75" customHeight="1" s="109"/>
    <row r="729" ht="15.75" customHeight="1" s="109"/>
    <row r="730" ht="15.75" customHeight="1" s="109"/>
    <row r="731" ht="15.75" customHeight="1" s="109"/>
    <row r="732" ht="15.75" customHeight="1" s="109"/>
    <row r="733" ht="15.75" customHeight="1" s="109"/>
    <row r="734" ht="15.75" customHeight="1" s="109"/>
    <row r="735" ht="15.75" customHeight="1" s="109"/>
    <row r="736" ht="15.75" customHeight="1" s="109"/>
    <row r="737" ht="15.75" customHeight="1" s="109"/>
    <row r="738" ht="15.75" customHeight="1" s="109"/>
    <row r="739" ht="15.75" customHeight="1" s="109"/>
    <row r="740" ht="15.75" customHeight="1" s="109"/>
    <row r="741" ht="15.75" customHeight="1" s="109"/>
    <row r="742" ht="15.75" customHeight="1" s="109"/>
    <row r="743" ht="15.75" customHeight="1" s="109"/>
    <row r="744" ht="15.75" customHeight="1" s="109"/>
    <row r="745" ht="15.75" customHeight="1" s="109"/>
    <row r="746" ht="15.75" customHeight="1" s="109"/>
    <row r="747" ht="15.75" customHeight="1" s="109"/>
    <row r="748" ht="15.75" customHeight="1" s="109"/>
    <row r="749" ht="15.75" customHeight="1" s="109"/>
    <row r="750" ht="15.75" customHeight="1" s="109"/>
    <row r="751" ht="15.75" customHeight="1" s="109"/>
    <row r="752" ht="15.75" customHeight="1" s="109"/>
    <row r="753" ht="15.75" customHeight="1" s="109"/>
    <row r="754" ht="15.75" customHeight="1" s="109"/>
    <row r="755" ht="15.75" customHeight="1" s="109"/>
    <row r="756" ht="15.75" customHeight="1" s="109"/>
    <row r="757" ht="15.75" customHeight="1" s="109"/>
    <row r="758" ht="15.75" customHeight="1" s="109"/>
    <row r="759" ht="15.75" customHeight="1" s="109"/>
    <row r="760" ht="15.75" customHeight="1" s="109"/>
    <row r="761" ht="15.75" customHeight="1" s="109"/>
    <row r="762" ht="15.75" customHeight="1" s="109"/>
    <row r="763" ht="15.75" customHeight="1" s="109"/>
    <row r="764" ht="15.75" customHeight="1" s="109"/>
    <row r="765" ht="15.75" customHeight="1" s="109"/>
    <row r="766" ht="15.75" customHeight="1" s="109"/>
    <row r="767" ht="15.75" customHeight="1" s="109"/>
    <row r="768" ht="15.75" customHeight="1" s="109"/>
    <row r="769" ht="15.75" customHeight="1" s="109"/>
    <row r="770" ht="15.75" customHeight="1" s="109"/>
    <row r="771" ht="15.75" customHeight="1" s="109"/>
    <row r="772" ht="15.75" customHeight="1" s="109"/>
    <row r="773" ht="15.75" customHeight="1" s="109"/>
    <row r="774" ht="15.75" customHeight="1" s="109"/>
    <row r="775" ht="15.75" customHeight="1" s="109"/>
    <row r="776" ht="15.75" customHeight="1" s="109"/>
    <row r="777" ht="15.75" customHeight="1" s="109"/>
    <row r="778" ht="15.75" customHeight="1" s="109"/>
    <row r="779" ht="15.75" customHeight="1" s="109"/>
    <row r="780" ht="15.75" customHeight="1" s="109"/>
    <row r="781" ht="15.75" customHeight="1" s="109"/>
    <row r="782" ht="15.75" customHeight="1" s="109"/>
    <row r="783" ht="15.75" customHeight="1" s="109"/>
    <row r="784" ht="15.75" customHeight="1" s="109"/>
    <row r="785" ht="15.75" customHeight="1" s="109"/>
    <row r="786" ht="15.75" customHeight="1" s="109"/>
    <row r="787" ht="15.75" customHeight="1" s="109"/>
    <row r="788" ht="15.75" customHeight="1" s="109"/>
    <row r="789" ht="15.75" customHeight="1" s="109"/>
    <row r="790" ht="15.75" customHeight="1" s="109"/>
    <row r="791" ht="15.75" customHeight="1" s="109"/>
    <row r="792" ht="15.75" customHeight="1" s="109"/>
    <row r="793" ht="15.75" customHeight="1" s="109"/>
    <row r="794" ht="15.75" customHeight="1" s="109"/>
    <row r="795" ht="15.75" customHeight="1" s="109"/>
    <row r="796" ht="15.75" customHeight="1" s="109"/>
    <row r="797" ht="15.75" customHeight="1" s="109"/>
    <row r="798" ht="15.75" customHeight="1" s="109"/>
    <row r="799" ht="15.75" customHeight="1" s="109"/>
    <row r="800" ht="15.75" customHeight="1" s="109"/>
    <row r="801" ht="15.75" customHeight="1" s="109"/>
    <row r="802" ht="15.75" customHeight="1" s="109"/>
    <row r="803" ht="15.75" customHeight="1" s="109"/>
    <row r="804" ht="15.75" customHeight="1" s="109"/>
    <row r="805" ht="15.75" customHeight="1" s="109"/>
    <row r="806" ht="15.75" customHeight="1" s="109"/>
    <row r="807" ht="15.75" customHeight="1" s="109"/>
    <row r="808" ht="15.75" customHeight="1" s="109"/>
    <row r="809" ht="15.75" customHeight="1" s="109"/>
    <row r="810" ht="15.75" customHeight="1" s="109"/>
    <row r="811" ht="15.75" customHeight="1" s="109"/>
    <row r="812" ht="15.75" customHeight="1" s="109"/>
    <row r="813" ht="15.75" customHeight="1" s="109"/>
    <row r="814" ht="15.75" customHeight="1" s="109"/>
    <row r="815" ht="15.75" customHeight="1" s="109"/>
    <row r="816" ht="15.75" customHeight="1" s="109"/>
    <row r="817" ht="15.75" customHeight="1" s="109"/>
    <row r="818" ht="15.75" customHeight="1" s="109"/>
    <row r="819" ht="15.75" customHeight="1" s="109"/>
    <row r="820" ht="15.75" customHeight="1" s="109"/>
    <row r="821" ht="15.75" customHeight="1" s="109"/>
    <row r="822" ht="15.75" customHeight="1" s="109"/>
    <row r="823" ht="15.75" customHeight="1" s="109"/>
    <row r="824" ht="15.75" customHeight="1" s="109"/>
    <row r="825" ht="15.75" customHeight="1" s="109"/>
    <row r="826" ht="15.75" customHeight="1" s="109"/>
    <row r="827" ht="15.75" customHeight="1" s="109"/>
    <row r="828" ht="15.75" customHeight="1" s="109"/>
    <row r="829" ht="15.75" customHeight="1" s="109"/>
    <row r="830" ht="15.75" customHeight="1" s="109"/>
    <row r="831" ht="15.75" customHeight="1" s="109"/>
    <row r="832" ht="15.75" customHeight="1" s="109"/>
    <row r="833" ht="15.75" customHeight="1" s="109"/>
    <row r="834" ht="15.75" customHeight="1" s="109"/>
    <row r="835" ht="15.75" customHeight="1" s="109"/>
    <row r="836" ht="15.75" customHeight="1" s="109"/>
    <row r="837" ht="15.75" customHeight="1" s="109"/>
    <row r="838" ht="15.75" customHeight="1" s="109"/>
    <row r="839" ht="15.75" customHeight="1" s="109"/>
    <row r="840" ht="15.75" customHeight="1" s="109"/>
    <row r="841" ht="15.75" customHeight="1" s="109"/>
    <row r="842" ht="15.75" customHeight="1" s="109"/>
    <row r="843" ht="15.75" customHeight="1" s="109"/>
    <row r="844" ht="15.75" customHeight="1" s="109"/>
    <row r="845" ht="15.75" customHeight="1" s="109"/>
    <row r="846" ht="15.75" customHeight="1" s="109"/>
    <row r="847" ht="15.75" customHeight="1" s="109"/>
    <row r="848" ht="15.75" customHeight="1" s="109"/>
    <row r="849" ht="15.75" customHeight="1" s="109"/>
    <row r="850" ht="15.75" customHeight="1" s="109"/>
    <row r="851" ht="15.75" customHeight="1" s="109"/>
    <row r="852" ht="15.75" customHeight="1" s="109"/>
    <row r="853" ht="15.75" customHeight="1" s="109"/>
    <row r="854" ht="15.75" customHeight="1" s="109"/>
    <row r="855" ht="15.75" customHeight="1" s="109"/>
    <row r="856" ht="15.75" customHeight="1" s="109"/>
    <row r="857" ht="15.75" customHeight="1" s="109"/>
    <row r="858" ht="15.75" customHeight="1" s="109"/>
    <row r="859" ht="15.75" customHeight="1" s="109"/>
    <row r="860" ht="15.75" customHeight="1" s="109"/>
    <row r="861" ht="15.75" customHeight="1" s="109"/>
    <row r="862" ht="15.75" customHeight="1" s="109"/>
    <row r="863" ht="15.75" customHeight="1" s="109"/>
    <row r="864" ht="15.75" customHeight="1" s="109"/>
    <row r="865" ht="15.75" customHeight="1" s="109"/>
    <row r="866" ht="15.75" customHeight="1" s="109"/>
    <row r="867" ht="15.75" customHeight="1" s="109"/>
    <row r="868" ht="15.75" customHeight="1" s="109"/>
    <row r="869" ht="15.75" customHeight="1" s="109"/>
    <row r="870" ht="15.75" customHeight="1" s="109"/>
    <row r="871" ht="15.75" customHeight="1" s="109"/>
    <row r="872" ht="15.75" customHeight="1" s="109"/>
    <row r="873" ht="15.75" customHeight="1" s="109"/>
    <row r="874" ht="15.75" customHeight="1" s="109"/>
    <row r="875" ht="15.75" customHeight="1" s="109"/>
    <row r="876" ht="15.75" customHeight="1" s="109"/>
    <row r="877" ht="15.75" customHeight="1" s="109"/>
    <row r="878" ht="15.75" customHeight="1" s="109"/>
    <row r="879" ht="15.75" customHeight="1" s="109"/>
    <row r="880" ht="15.75" customHeight="1" s="109"/>
    <row r="881" ht="15.75" customHeight="1" s="109"/>
    <row r="882" ht="15.75" customHeight="1" s="109"/>
    <row r="883" ht="15.75" customHeight="1" s="109"/>
    <row r="884" ht="15.75" customHeight="1" s="109"/>
    <row r="885" ht="15.75" customHeight="1" s="109"/>
    <row r="886" ht="15.75" customHeight="1" s="109"/>
    <row r="887" ht="15.75" customHeight="1" s="109"/>
    <row r="888" ht="15.75" customHeight="1" s="109"/>
    <row r="889" ht="15.75" customHeight="1" s="109"/>
    <row r="890" ht="15.75" customHeight="1" s="109"/>
    <row r="891" ht="15.75" customHeight="1" s="109"/>
    <row r="892" ht="15.75" customHeight="1" s="109"/>
    <row r="893" ht="15.75" customHeight="1" s="109"/>
    <row r="894" ht="15.75" customHeight="1" s="109"/>
    <row r="895" ht="15.75" customHeight="1" s="109"/>
    <row r="896" ht="15.75" customHeight="1" s="109"/>
    <row r="897" ht="15.75" customHeight="1" s="109"/>
    <row r="898" ht="15.75" customHeight="1" s="109"/>
    <row r="899" ht="15.75" customHeight="1" s="109"/>
    <row r="900" ht="15.75" customHeight="1" s="109"/>
    <row r="901" ht="15.75" customHeight="1" s="109"/>
    <row r="902" ht="15.75" customHeight="1" s="109"/>
    <row r="903" ht="15.75" customHeight="1" s="109"/>
    <row r="904" ht="15.75" customHeight="1" s="109"/>
    <row r="905" ht="15.75" customHeight="1" s="109"/>
    <row r="906" ht="15.75" customHeight="1" s="109"/>
    <row r="907" ht="15.75" customHeight="1" s="109"/>
    <row r="908" ht="15.75" customHeight="1" s="109"/>
    <row r="909" ht="15.75" customHeight="1" s="109"/>
    <row r="910" ht="15.75" customHeight="1" s="109"/>
    <row r="911" ht="15.75" customHeight="1" s="109"/>
    <row r="912" ht="15.75" customHeight="1" s="109"/>
    <row r="913" ht="15.75" customHeight="1" s="109"/>
    <row r="914" ht="15.75" customHeight="1" s="109"/>
    <row r="915" ht="15.75" customHeight="1" s="109"/>
    <row r="916" ht="15.75" customHeight="1" s="109"/>
    <row r="917" ht="15.75" customHeight="1" s="109"/>
    <row r="918" ht="15.75" customHeight="1" s="109"/>
    <row r="919" ht="15.75" customHeight="1" s="109"/>
    <row r="920" ht="15.75" customHeight="1" s="109"/>
    <row r="921" ht="15.75" customHeight="1" s="109"/>
    <row r="922" ht="15.75" customHeight="1" s="109"/>
    <row r="923" ht="15.75" customHeight="1" s="109"/>
    <row r="924" ht="15.75" customHeight="1" s="109"/>
    <row r="925" ht="15.75" customHeight="1" s="109"/>
    <row r="926" ht="15.75" customHeight="1" s="109"/>
    <row r="927" ht="15.75" customHeight="1" s="109"/>
    <row r="928" ht="15.75" customHeight="1" s="109"/>
    <row r="929" ht="15.75" customHeight="1" s="109"/>
    <row r="930" ht="15.75" customHeight="1" s="109"/>
    <row r="931" ht="15.75" customHeight="1" s="109"/>
    <row r="932" ht="15.75" customHeight="1" s="109"/>
    <row r="933" ht="15.75" customHeight="1" s="109"/>
    <row r="934" ht="15.75" customHeight="1" s="109"/>
    <row r="935" ht="15.75" customHeight="1" s="109"/>
    <row r="936" ht="15.75" customHeight="1" s="109"/>
    <row r="937" ht="15.75" customHeight="1" s="109"/>
    <row r="938" ht="15.75" customHeight="1" s="109"/>
    <row r="939" ht="15.75" customHeight="1" s="109"/>
    <row r="940" ht="15.75" customHeight="1" s="109"/>
    <row r="941" ht="15.75" customHeight="1" s="109"/>
    <row r="942" ht="15.75" customHeight="1" s="109"/>
    <row r="943" ht="15.75" customHeight="1" s="109"/>
    <row r="944" ht="15.75" customHeight="1" s="109"/>
    <row r="945" ht="15.75" customHeight="1" s="109"/>
    <row r="946" ht="15.75" customHeight="1" s="109"/>
    <row r="947" ht="15.75" customHeight="1" s="109"/>
    <row r="948" ht="15.75" customHeight="1" s="109"/>
    <row r="949" ht="15.75" customHeight="1" s="109"/>
    <row r="950" ht="15.75" customHeight="1" s="109"/>
    <row r="951" ht="15.75" customHeight="1" s="109"/>
    <row r="952" ht="15.75" customHeight="1" s="109"/>
    <row r="953" ht="15.75" customHeight="1" s="109"/>
    <row r="954" ht="15.75" customHeight="1" s="109"/>
    <row r="955" ht="15.75" customHeight="1" s="109"/>
    <row r="956" ht="15.75" customHeight="1" s="109"/>
    <row r="957" ht="15.75" customHeight="1" s="109"/>
    <row r="958" ht="15.75" customHeight="1" s="109"/>
    <row r="959" ht="15.75" customHeight="1" s="109"/>
    <row r="960" ht="15.75" customHeight="1" s="109"/>
    <row r="961" ht="15.75" customHeight="1" s="109"/>
    <row r="962" ht="15.75" customHeight="1" s="109"/>
    <row r="963" ht="15.75" customHeight="1" s="109"/>
    <row r="964" ht="15.75" customHeight="1" s="109"/>
    <row r="965" ht="15.75" customHeight="1" s="109"/>
    <row r="966" ht="15.75" customHeight="1" s="109"/>
    <row r="967" ht="15.75" customHeight="1" s="109"/>
    <row r="968" ht="15.75" customHeight="1" s="109"/>
    <row r="969" ht="15.75" customHeight="1" s="109"/>
    <row r="970" ht="15.75" customHeight="1" s="109"/>
    <row r="971" ht="15.75" customHeight="1" s="109"/>
    <row r="972" ht="15.75" customHeight="1" s="109"/>
    <row r="973" ht="15.75" customHeight="1" s="109"/>
    <row r="974" ht="15.75" customHeight="1" s="109"/>
    <row r="975" ht="15.75" customHeight="1" s="109"/>
    <row r="976" ht="15.75" customHeight="1" s="109"/>
    <row r="977" ht="15.75" customHeight="1" s="109"/>
    <row r="978" ht="15.75" customHeight="1" s="109"/>
    <row r="979" ht="15.75" customHeight="1" s="109"/>
    <row r="980" ht="15.75" customHeight="1" s="109"/>
    <row r="981" ht="15.75" customHeight="1" s="109"/>
    <row r="982" ht="15.75" customHeight="1" s="109"/>
    <row r="983" ht="15.75" customHeight="1" s="109"/>
    <row r="984" ht="15.75" customHeight="1" s="109"/>
    <row r="985" ht="15.75" customHeight="1" s="109"/>
    <row r="986" ht="15.75" customHeight="1" s="109"/>
    <row r="987" ht="15.75" customHeight="1" s="109"/>
    <row r="988" ht="15.75" customHeight="1" s="109"/>
    <row r="989" ht="15.75" customHeight="1" s="109"/>
    <row r="990" ht="15.75" customHeight="1" s="109"/>
    <row r="991" ht="15.75" customHeight="1" s="109"/>
    <row r="992" ht="15.75" customHeight="1" s="109"/>
    <row r="993" ht="15.75" customHeight="1" s="109"/>
    <row r="994" ht="15.75" customHeight="1" s="109"/>
    <row r="995" ht="15.75" customHeight="1" s="109"/>
    <row r="996" ht="15.75" customHeight="1" s="109"/>
    <row r="997" ht="15.75" customHeight="1" s="109"/>
    <row r="998" ht="15.75" customHeight="1" s="109"/>
    <row r="999" ht="15.75" customHeight="1" s="109"/>
    <row r="1000" ht="15.75" customHeight="1" s="109"/>
  </sheetData>
  <mergeCells count="9">
    <mergeCell ref="A1:D1"/>
    <mergeCell ref="A20:B20"/>
    <mergeCell ref="A16:B16"/>
    <mergeCell ref="A15:B15"/>
    <mergeCell ref="A19:B19"/>
    <mergeCell ref="A14:B14"/>
    <mergeCell ref="A2:D2"/>
    <mergeCell ref="A17:B17"/>
    <mergeCell ref="A18:B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2026-06-24T17:49:00Z</dcterms:created>
  <dcterms:modified xsi:type="dcterms:W3CDTF">2026-06-25T14:21:38Z</dcterms:modified>
</cp:coreProperties>
</file>